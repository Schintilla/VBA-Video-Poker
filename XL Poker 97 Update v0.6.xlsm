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4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77.xml" ContentType="application/vnd.ms-excel.controlproperti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"/>
    </mc:Choice>
  </mc:AlternateContent>
  <xr:revisionPtr revIDLastSave="0" documentId="13_ncr:1_{507549DF-3AFB-461F-B053-C5CB52399227}" xr6:coauthVersionLast="45" xr6:coauthVersionMax="45" xr10:uidLastSave="{00000000-0000-0000-0000-000000000000}"/>
  <bookViews>
    <workbookView xWindow="-30" yWindow="-30" windowWidth="17130" windowHeight="13620" tabRatio="675" firstSheet="1" activeTab="1" xr2:uid="{00000000-000D-0000-FFFF-FFFF00000000}"/>
  </bookViews>
  <sheets>
    <sheet name="Code" sheetId="1" state="veryHidden" r:id=""/>
    <sheet name="Display" sheetId="2" r:id="rId1"/>
    <sheet name="Analysis" sheetId="3" r:id="rId2"/>
    <sheet name="Tables" sheetId="4" r:id="rId3"/>
    <sheet name="Shuffle" sheetId="5" r:id="rId4"/>
    <sheet name="Joker" sheetId="6" r:id="rId5"/>
    <sheet name="Help" sheetId="7" r:id="rId6"/>
    <sheet name="Deck Data" sheetId="8" r:id="rId7"/>
    <sheet name="Cards" sheetId="9" r:id="rId8"/>
    <sheet name="ToDo" sheetId="11" r:id="rId9"/>
    <sheet name="TestCode" sheetId="10" state="veryHidden" r:id=""/>
  </sheets>
  <functionGroups builtInGroupCount="19"/>
  <definedNames>
    <definedName name="AutoHold">Display!$AJ$13</definedName>
    <definedName name="AutoPlay">Display!$AJ$10</definedName>
    <definedName name="CardStart">Display!$C$14</definedName>
    <definedName name="Cash">Display!$F$7</definedName>
    <definedName name="Credit">Display!$F$5</definedName>
    <definedName name="diam">Cards!$L$56</definedName>
    <definedName name="DoublePlay">Display!$AJ$6</definedName>
    <definedName name="GameType">Display!$AJ$7</definedName>
    <definedName name="HandDetails">Display!$AJ$12</definedName>
    <definedName name="HideCards">Display!$AJ$11</definedName>
    <definedName name="Jack_Diamond">"Picture 16"</definedName>
    <definedName name="NoPlays">Display!$AJ$9</definedName>
    <definedName name="PlayNo">Display!$AC$3</definedName>
    <definedName name="Shuffle">Display!$AJ$8</definedName>
    <definedName name="Winnings">Display!$F$3</definedName>
    <definedName name="Wins">Display!$AC$4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9" l="1"/>
  <c r="O22" i="9"/>
  <c r="H40" i="3" l="1"/>
  <c r="J40" i="3" s="1"/>
  <c r="H33" i="3"/>
  <c r="J33" i="3" s="1"/>
  <c r="H34" i="3"/>
  <c r="J34" i="3" s="1"/>
  <c r="H35" i="3"/>
  <c r="J35" i="3" s="1"/>
  <c r="H36" i="3"/>
  <c r="J36" i="3" s="1"/>
  <c r="H37" i="3"/>
  <c r="J37" i="3" s="1"/>
  <c r="H38" i="3"/>
  <c r="J38" i="3" s="1"/>
  <c r="H39" i="3"/>
  <c r="J39" i="3" s="1"/>
  <c r="H32" i="3"/>
  <c r="J32" i="3" s="1"/>
  <c r="H31" i="3"/>
  <c r="J31" i="3" s="1"/>
  <c r="L40" i="3"/>
  <c r="L33" i="3"/>
  <c r="I41" i="3"/>
  <c r="L32" i="3"/>
  <c r="L34" i="3"/>
  <c r="L35" i="3"/>
  <c r="L36" i="3"/>
  <c r="L37" i="3"/>
  <c r="L38" i="3"/>
  <c r="L39" i="3"/>
  <c r="L31" i="3"/>
  <c r="L8" i="8"/>
  <c r="L7" i="8"/>
  <c r="L6" i="8"/>
  <c r="L5" i="8"/>
  <c r="L4" i="8"/>
  <c r="L3" i="8"/>
  <c r="C2" i="5"/>
  <c r="C3" i="5"/>
  <c r="C4" i="5"/>
  <c r="C5" i="5"/>
  <c r="C1" i="5"/>
  <c r="E2" i="5"/>
  <c r="E3" i="5"/>
  <c r="E4" i="5"/>
  <c r="E5" i="5"/>
  <c r="E6" i="5"/>
  <c r="E7" i="5"/>
  <c r="E8" i="5"/>
  <c r="E9" i="5"/>
  <c r="E10" i="5"/>
  <c r="E1" i="5"/>
  <c r="C6" i="5"/>
  <c r="C7" i="5"/>
  <c r="C8" i="5"/>
  <c r="C9" i="5"/>
  <c r="C10" i="5"/>
  <c r="D41" i="4"/>
  <c r="E41" i="4"/>
  <c r="F41" i="4"/>
  <c r="G41" i="4"/>
  <c r="H41" i="4"/>
  <c r="C41" i="4"/>
  <c r="E4" i="4"/>
  <c r="E5" i="4"/>
  <c r="F5" i="4" s="1"/>
  <c r="E6" i="4"/>
  <c r="F6" i="4" s="1"/>
  <c r="G6" i="4" s="1"/>
  <c r="E7" i="4"/>
  <c r="F7" i="4" s="1"/>
  <c r="E8" i="4"/>
  <c r="E9" i="4"/>
  <c r="F9" i="4" s="1"/>
  <c r="E12" i="4"/>
  <c r="F12" i="4" s="1"/>
  <c r="E13" i="4"/>
  <c r="F13" i="4" s="1"/>
  <c r="C4" i="4"/>
  <c r="C5" i="4"/>
  <c r="C6" i="4"/>
  <c r="C7" i="4"/>
  <c r="F8" i="4"/>
  <c r="C8" i="4"/>
  <c r="C9" i="4"/>
  <c r="F10" i="4"/>
  <c r="C10" i="4"/>
  <c r="F11" i="4"/>
  <c r="C11" i="4"/>
  <c r="C12" i="4"/>
  <c r="C13" i="4"/>
  <c r="D14" i="4"/>
  <c r="I42" i="3" l="1"/>
  <c r="K38" i="3"/>
  <c r="K36" i="3"/>
  <c r="K31" i="3"/>
  <c r="K33" i="3"/>
  <c r="K32" i="3"/>
  <c r="K40" i="3"/>
  <c r="G8" i="4"/>
  <c r="G12" i="4"/>
  <c r="G11" i="4"/>
  <c r="E14" i="4"/>
  <c r="F4" i="4"/>
  <c r="G4" i="4" s="1"/>
  <c r="K37" i="3"/>
  <c r="H41" i="3"/>
  <c r="G13" i="4"/>
  <c r="K39" i="3"/>
  <c r="K35" i="3"/>
  <c r="L41" i="3"/>
  <c r="L42" i="3" s="1"/>
  <c r="G7" i="4"/>
  <c r="G10" i="4"/>
  <c r="G9" i="4"/>
  <c r="G5" i="4"/>
  <c r="C14" i="4"/>
  <c r="K34" i="3"/>
  <c r="H42" i="3" l="1"/>
  <c r="G14" i="4"/>
  <c r="K41" i="3"/>
  <c r="K42" i="3" s="1"/>
</calcChain>
</file>

<file path=xl/sharedStrings.xml><?xml version="1.0" encoding="utf-8"?>
<sst xmlns="http://schemas.openxmlformats.org/spreadsheetml/2006/main" count="405" uniqueCount="202">
  <si>
    <t>Joker Wild</t>
  </si>
  <si>
    <t>WIN:</t>
  </si>
  <si>
    <t>Royal Flush</t>
  </si>
  <si>
    <t>500</t>
  </si>
  <si>
    <t>Plays:</t>
  </si>
  <si>
    <t>Straight Flush</t>
  </si>
  <si>
    <t>250</t>
  </si>
  <si>
    <t>Wins (%) :</t>
  </si>
  <si>
    <t>Setting</t>
  </si>
  <si>
    <t>CREDIT:</t>
  </si>
  <si>
    <t>4 Of A Kind</t>
  </si>
  <si>
    <t>100</t>
  </si>
  <si>
    <t>Payout to date:</t>
  </si>
  <si>
    <t>Full House</t>
  </si>
  <si>
    <t>Expected Payout:</t>
  </si>
  <si>
    <t>Double Play</t>
  </si>
  <si>
    <t>CASH:</t>
  </si>
  <si>
    <t>Flush</t>
  </si>
  <si>
    <t>Game Type</t>
  </si>
  <si>
    <t>Straight</t>
  </si>
  <si>
    <t>Shuffle</t>
  </si>
  <si>
    <t>3 Of A Kind</t>
  </si>
  <si>
    <t>2 Pairs</t>
  </si>
  <si>
    <t>Auto Play</t>
  </si>
  <si>
    <t>Jacks Or Better</t>
  </si>
  <si>
    <t>Hide Cards</t>
  </si>
  <si>
    <t>Nothing</t>
  </si>
  <si>
    <t>Hold</t>
  </si>
  <si>
    <t>Auto Hold</t>
  </si>
  <si>
    <t>ª</t>
  </si>
  <si>
    <t>¨</t>
  </si>
  <si>
    <t>©</t>
  </si>
  <si>
    <t>Winning Hands</t>
  </si>
  <si>
    <t>Hands Won</t>
  </si>
  <si>
    <t>Amount Won</t>
  </si>
  <si>
    <t>Expected</t>
  </si>
  <si>
    <t>Actual</t>
  </si>
  <si>
    <t>Inaccuracy</t>
  </si>
  <si>
    <t>HANDS PLAYED</t>
  </si>
  <si>
    <t>Probabilities</t>
  </si>
  <si>
    <t>Frequency
%</t>
  </si>
  <si>
    <t>Once Every</t>
  </si>
  <si>
    <t>Payout for 5 coins</t>
  </si>
  <si>
    <t>Payout Multiplier</t>
  </si>
  <si>
    <t>% 
Contribution</t>
  </si>
  <si>
    <t>Pair (Jacks Or Better)</t>
  </si>
  <si>
    <t>TOTAL</t>
  </si>
  <si>
    <t>Payout Schedules</t>
  </si>
  <si>
    <t>Draw Poker</t>
  </si>
  <si>
    <t>Bonus Poker</t>
  </si>
  <si>
    <t>Dbl Bonus</t>
  </si>
  <si>
    <t>Dbl Dbl Bonus</t>
  </si>
  <si>
    <t>Dbl Jackpot Bonus</t>
  </si>
  <si>
    <t>Dbl Dbl Jackpot Bonus</t>
  </si>
  <si>
    <t>4000</t>
  </si>
  <si>
    <t xml:space="preserve">4 Of A Kind </t>
  </si>
  <si>
    <t>125</t>
  </si>
  <si>
    <t>% Payout</t>
  </si>
  <si>
    <t>4 Of A Kind (Aces)</t>
  </si>
  <si>
    <t>4 Of A Kind (KQJ)</t>
  </si>
  <si>
    <t>4 Of A Kind (2,3,4)</t>
  </si>
  <si>
    <t>4 Of A Kind (2-10)</t>
  </si>
  <si>
    <t>4 Of A Kind (5-K)</t>
  </si>
  <si>
    <t>Kicker Card x2</t>
  </si>
  <si>
    <t>Total % Payout</t>
  </si>
  <si>
    <t>Total % Payout (calc)</t>
  </si>
  <si>
    <t>Hand</t>
  </si>
  <si>
    <t>Default</t>
  </si>
  <si>
    <t>4 Card Royal Flush</t>
  </si>
  <si>
    <t>HAND HOLDING HIERARCHY</t>
  </si>
  <si>
    <t>IN AUTO HOLD MODE</t>
  </si>
  <si>
    <t>Highlight hand and</t>
  </si>
  <si>
    <t>select Up/Down:</t>
  </si>
  <si>
    <t>3 Card Royal Flush</t>
  </si>
  <si>
    <t>4 Card Straight Flush</t>
  </si>
  <si>
    <t>Move Up</t>
  </si>
  <si>
    <t>4 Card Flush</t>
  </si>
  <si>
    <t>Tens Or Lower</t>
  </si>
  <si>
    <t>Move Down</t>
  </si>
  <si>
    <t>4 Card Straight</t>
  </si>
  <si>
    <t>3 Card Straight Flush</t>
  </si>
  <si>
    <t>3 High Cards</t>
  </si>
  <si>
    <t>2 Face Cards (suit)</t>
  </si>
  <si>
    <t>2 High Cards</t>
  </si>
  <si>
    <t>Face + 10 (suit)</t>
  </si>
  <si>
    <t>Ace + Face Card (suit)</t>
  </si>
  <si>
    <t>2 Face Cards</t>
  </si>
  <si>
    <t>Ace + Face Card (straight)</t>
  </si>
  <si>
    <t>Ace + Face Card</t>
  </si>
  <si>
    <t>1 Face Card</t>
  </si>
  <si>
    <t>Ace Only</t>
  </si>
  <si>
    <t>3 Card Flush</t>
  </si>
  <si>
    <t>3 Card Straight</t>
  </si>
  <si>
    <t>Test</t>
  </si>
  <si>
    <t>Q</t>
  </si>
  <si>
    <t>A</t>
  </si>
  <si>
    <t>§</t>
  </si>
  <si>
    <t>K</t>
  </si>
  <si>
    <t>Next 5 Cards</t>
  </si>
  <si>
    <t>Card Analysis Temp Data</t>
  </si>
  <si>
    <t>Card Suit</t>
  </si>
  <si>
    <t>Card Value</t>
  </si>
  <si>
    <t>Hand Sort</t>
  </si>
  <si>
    <t>Card Posn</t>
  </si>
  <si>
    <t>With Joker Wild</t>
  </si>
  <si>
    <t>Other Pos Hand</t>
  </si>
  <si>
    <t>Payout</t>
  </si>
  <si>
    <t>5 Of A Kind</t>
  </si>
  <si>
    <t>Royal Flush (Joker)</t>
  </si>
  <si>
    <t>JOKER WILD TABLE</t>
  </si>
  <si>
    <t xml:space="preserve"> or Full House</t>
  </si>
  <si>
    <t xml:space="preserve"> or 2 Pairs</t>
  </si>
  <si>
    <t xml:space="preserve"> or 4 Card Royal Flush</t>
  </si>
  <si>
    <t xml:space="preserve"> or 3 Card Royal Flush</t>
  </si>
  <si>
    <t xml:space="preserve"> or 3 Card Straight/Flush</t>
  </si>
  <si>
    <t xml:space="preserve"> or 3 Card Straight</t>
  </si>
  <si>
    <t>HELP</t>
  </si>
  <si>
    <t>Item</t>
  </si>
  <si>
    <t>Description</t>
  </si>
  <si>
    <t>More info</t>
  </si>
  <si>
    <r>
      <t xml:space="preserve">Auto holds in accordance with the </t>
    </r>
    <r>
      <rPr>
        <b/>
        <sz val="10"/>
        <color indexed="9"/>
        <rFont val="Times New Roman"/>
        <family val="1"/>
      </rPr>
      <t>Hold Strategy</t>
    </r>
    <r>
      <rPr>
        <sz val="10"/>
        <color indexed="9"/>
        <rFont val="Times New Roman"/>
        <family val="1"/>
      </rPr>
      <t xml:space="preserve"> settings</t>
    </r>
  </si>
  <si>
    <r>
      <t xml:space="preserve">Computer plays the number of times set and in accordance with the </t>
    </r>
    <r>
      <rPr>
        <b/>
        <sz val="10"/>
        <color indexed="9"/>
        <rFont val="Times New Roman"/>
        <family val="1"/>
      </rPr>
      <t xml:space="preserve">Hold Strategy </t>
    </r>
    <r>
      <rPr>
        <sz val="10"/>
        <color indexed="9"/>
        <rFont val="Times New Roman"/>
        <family val="1"/>
      </rPr>
      <t xml:space="preserve">table. </t>
    </r>
  </si>
  <si>
    <t>Cash</t>
  </si>
  <si>
    <r>
      <t xml:space="preserve">Starts at 100 and decrements by 5 each play. If zero then amount taken from </t>
    </r>
    <r>
      <rPr>
        <b/>
        <sz val="10"/>
        <color indexed="9"/>
        <rFont val="Times New Roman"/>
        <family val="1"/>
      </rPr>
      <t>Credit</t>
    </r>
    <r>
      <rPr>
        <sz val="10"/>
        <color indexed="9"/>
        <rFont val="Times New Roman"/>
        <family val="1"/>
      </rPr>
      <t xml:space="preserve">. If </t>
    </r>
    <r>
      <rPr>
        <b/>
        <sz val="10"/>
        <color indexed="9"/>
        <rFont val="Times New Roman"/>
        <family val="1"/>
      </rPr>
      <t>Credit</t>
    </r>
    <r>
      <rPr>
        <sz val="10"/>
        <color indexed="9"/>
        <rFont val="Times New Roman"/>
        <family val="1"/>
      </rPr>
      <t xml:space="preserve"> is zero then the cash is topped up to 100 again. The 5 coin stake cannot be adjusted</t>
    </r>
  </si>
  <si>
    <t>Credit</t>
  </si>
  <si>
    <r>
      <t xml:space="preserve">Displays the winnings since the last </t>
    </r>
    <r>
      <rPr>
        <b/>
        <sz val="10"/>
        <color indexed="9"/>
        <rFont val="Times New Roman"/>
        <family val="1"/>
      </rPr>
      <t>Reset</t>
    </r>
    <r>
      <rPr>
        <sz val="10"/>
        <color indexed="9"/>
        <rFont val="Times New Roman"/>
        <family val="1"/>
      </rPr>
      <t xml:space="preserve">. The stake is deducted automatically from credit if </t>
    </r>
    <r>
      <rPr>
        <b/>
        <sz val="10"/>
        <color indexed="9"/>
        <rFont val="Times New Roman"/>
        <family val="1"/>
      </rPr>
      <t>Cash</t>
    </r>
    <r>
      <rPr>
        <sz val="10"/>
        <color indexed="9"/>
        <rFont val="Times New Roman"/>
        <family val="1"/>
      </rPr>
      <t xml:space="preserve"> is zero.</t>
    </r>
  </si>
  <si>
    <t>Deal/Draw Button</t>
  </si>
  <si>
    <t>Set to Deal at the start of a game and changes to Draw thereafter for each game</t>
  </si>
  <si>
    <r>
      <t xml:space="preserve">Goes to </t>
    </r>
    <r>
      <rPr>
        <b/>
        <sz val="10"/>
        <color indexed="9"/>
        <rFont val="Times New Roman"/>
        <family val="1"/>
      </rPr>
      <t>Double Play</t>
    </r>
    <r>
      <rPr>
        <sz val="10"/>
        <color indexed="9"/>
        <rFont val="Times New Roman"/>
        <family val="1"/>
      </rPr>
      <t xml:space="preserve"> game on a win. This involves picking a card higher in value than that shown to double your winnings (not available in Joker Wild game). A wrong guess will forfeit your winnings.</t>
    </r>
  </si>
  <si>
    <t>Double Y/N Button</t>
  </si>
  <si>
    <r>
      <t xml:space="preserve">Only appears in </t>
    </r>
    <r>
      <rPr>
        <b/>
        <sz val="10"/>
        <color indexed="9"/>
        <rFont val="Times New Roman"/>
        <family val="1"/>
      </rPr>
      <t>Double Play</t>
    </r>
    <r>
      <rPr>
        <sz val="10"/>
        <color indexed="9"/>
        <rFont val="Times New Roman"/>
        <family val="1"/>
      </rPr>
      <t xml:space="preserve"> mode and allows selection for playing double.</t>
    </r>
  </si>
  <si>
    <t>Expected Payout</t>
  </si>
  <si>
    <r>
      <t xml:space="preserve">Displays the expected payout based on the </t>
    </r>
    <r>
      <rPr>
        <b/>
        <sz val="10"/>
        <color indexed="9"/>
        <rFont val="Times New Roman"/>
        <family val="1"/>
      </rPr>
      <t xml:space="preserve">Probability </t>
    </r>
    <r>
      <rPr>
        <sz val="10"/>
        <color indexed="9"/>
        <rFont val="Times New Roman"/>
        <family val="1"/>
      </rPr>
      <t>table</t>
    </r>
  </si>
  <si>
    <r>
      <t xml:space="preserve">Select the game type. It changes the </t>
    </r>
    <r>
      <rPr>
        <b/>
        <sz val="10"/>
        <color indexed="9"/>
        <rFont val="Times New Roman"/>
        <family val="1"/>
      </rPr>
      <t>Payout Table</t>
    </r>
    <r>
      <rPr>
        <sz val="10"/>
        <color indexed="9"/>
        <rFont val="Times New Roman"/>
        <family val="1"/>
      </rPr>
      <t xml:space="preserve"> and the </t>
    </r>
    <r>
      <rPr>
        <b/>
        <sz val="10"/>
        <color indexed="9"/>
        <rFont val="Times New Roman"/>
        <family val="1"/>
      </rPr>
      <t>Expected %Payout</t>
    </r>
    <r>
      <rPr>
        <sz val="10"/>
        <color indexed="9"/>
        <rFont val="Times New Roman"/>
        <family val="1"/>
      </rPr>
      <t xml:space="preserve">. In Joker Wild, </t>
    </r>
    <r>
      <rPr>
        <b/>
        <sz val="10"/>
        <color indexed="9"/>
        <rFont val="Times New Roman"/>
        <family val="1"/>
      </rPr>
      <t>Auto Hold, Auto Play, Hide Cards</t>
    </r>
    <r>
      <rPr>
        <sz val="10"/>
        <color indexed="9"/>
        <rFont val="Times New Roman"/>
        <family val="1"/>
      </rPr>
      <t xml:space="preserve"> and </t>
    </r>
    <r>
      <rPr>
        <b/>
        <sz val="10"/>
        <color indexed="9"/>
        <rFont val="Times New Roman"/>
        <family val="1"/>
      </rPr>
      <t>Double Play</t>
    </r>
    <r>
      <rPr>
        <sz val="10"/>
        <color indexed="9"/>
        <rFont val="Times New Roman"/>
        <family val="1"/>
      </rPr>
      <t xml:space="preserve"> have no effect. Also, the top two entries in the </t>
    </r>
    <r>
      <rPr>
        <b/>
        <sz val="10"/>
        <color indexed="9"/>
        <rFont val="Times New Roman"/>
        <family val="1"/>
      </rPr>
      <t>Payout Table</t>
    </r>
    <r>
      <rPr>
        <sz val="10"/>
        <color indexed="9"/>
        <rFont val="Times New Roman"/>
        <family val="1"/>
      </rPr>
      <t xml:space="preserve"> are not shown. Click </t>
    </r>
    <r>
      <rPr>
        <b/>
        <sz val="10"/>
        <color indexed="9"/>
        <rFont val="Times New Roman"/>
        <family val="1"/>
      </rPr>
      <t>Schedule</t>
    </r>
    <r>
      <rPr>
        <sz val="10"/>
        <color indexed="9"/>
        <rFont val="Times New Roman"/>
        <family val="1"/>
      </rPr>
      <t xml:space="preserve"> and then </t>
    </r>
    <r>
      <rPr>
        <b/>
        <sz val="10"/>
        <color indexed="9"/>
        <rFont val="Times New Roman"/>
        <family val="1"/>
      </rPr>
      <t>Goto</t>
    </r>
    <r>
      <rPr>
        <sz val="10"/>
        <color indexed="9"/>
        <rFont val="Times New Roman"/>
        <family val="1"/>
      </rPr>
      <t xml:space="preserve"> this.</t>
    </r>
  </si>
  <si>
    <t>Graphical</t>
  </si>
  <si>
    <t>Shows a graph of hands won versus amount remaining</t>
  </si>
  <si>
    <t>Hand Details</t>
  </si>
  <si>
    <t>Determines whether the hand analysis info displays just the winning hands according to the payout table or also a near wins.</t>
  </si>
  <si>
    <t>Shows type of hand versus frequency and expected frequency</t>
  </si>
  <si>
    <r>
      <t xml:space="preserve">Hides or shows cards being dealt during </t>
    </r>
    <r>
      <rPr>
        <b/>
        <sz val="10"/>
        <color indexed="9"/>
        <rFont val="Times New Roman"/>
        <family val="1"/>
      </rPr>
      <t>Auto Play</t>
    </r>
    <r>
      <rPr>
        <sz val="10"/>
        <color indexed="9"/>
        <rFont val="Times New Roman"/>
        <family val="1"/>
      </rPr>
      <t>. Hiding speeds up Auto Play</t>
    </r>
  </si>
  <si>
    <t>Hold Button</t>
  </si>
  <si>
    <t>Press to hold the card or alternatively click the card itself</t>
  </si>
  <si>
    <t>Hold Strategy Button</t>
  </si>
  <si>
    <r>
      <t xml:space="preserve">Displays the </t>
    </r>
    <r>
      <rPr>
        <b/>
        <sz val="10"/>
        <color indexed="9"/>
        <rFont val="Times New Roman"/>
        <family val="1"/>
      </rPr>
      <t>Hand Holding strategy</t>
    </r>
    <r>
      <rPr>
        <sz val="10"/>
        <color indexed="9"/>
        <rFont val="Times New Roman"/>
        <family val="1"/>
      </rPr>
      <t xml:space="preserve"> whch may be adjusted. It also determines the hand info appearing on the </t>
    </r>
    <r>
      <rPr>
        <b/>
        <sz val="10"/>
        <color indexed="9"/>
        <rFont val="Times New Roman"/>
        <family val="1"/>
      </rPr>
      <t>Information Line.</t>
    </r>
  </si>
  <si>
    <t>Information Line</t>
  </si>
  <si>
    <t>Displays the type of hand and other information. The type of hand is determined by the hierarchy in the Hold Strategy table</t>
  </si>
  <si>
    <t>Menu Set/Reset</t>
  </si>
  <si>
    <t>Toggles menus between Excel and XLPoker.</t>
  </si>
  <si>
    <t>New Deck</t>
  </si>
  <si>
    <r>
      <t xml:space="preserve">When selected each game starts with a new deck which is then shuffled. The deck is shuffled each time </t>
    </r>
    <r>
      <rPr>
        <b/>
        <sz val="10"/>
        <color indexed="9"/>
        <rFont val="Times New Roman"/>
        <family val="1"/>
      </rPr>
      <t>Deal</t>
    </r>
    <r>
      <rPr>
        <sz val="10"/>
        <color indexed="9"/>
        <rFont val="Times New Roman"/>
        <family val="1"/>
      </rPr>
      <t xml:space="preserve"> is pressed</t>
    </r>
  </si>
  <si>
    <t>Payout Table</t>
  </si>
  <si>
    <r>
      <t>Shows the payout table. For Joker Wild the top two payouts are not show. These can be viewed from the</t>
    </r>
    <r>
      <rPr>
        <b/>
        <sz val="10"/>
        <color indexed="9"/>
        <rFont val="Times New Roman"/>
        <family val="1"/>
      </rPr>
      <t xml:space="preserve"> Payout Schedule</t>
    </r>
    <r>
      <rPr>
        <sz val="10"/>
        <color indexed="9"/>
        <rFont val="Times New Roman"/>
        <family val="1"/>
      </rPr>
      <t xml:space="preserve"> table</t>
    </r>
  </si>
  <si>
    <t>Payout To Date</t>
  </si>
  <si>
    <r>
      <t xml:space="preserve">Displays the payout to date, ie since the last </t>
    </r>
    <r>
      <rPr>
        <b/>
        <sz val="10"/>
        <color indexed="9"/>
        <rFont val="Times New Roman"/>
        <family val="1"/>
      </rPr>
      <t>Reset</t>
    </r>
  </si>
  <si>
    <t>Plays</t>
  </si>
  <si>
    <r>
      <t xml:space="preserve">Displays the number of plays since last </t>
    </r>
    <r>
      <rPr>
        <b/>
        <sz val="10"/>
        <color indexed="9"/>
        <rFont val="Times New Roman"/>
        <family val="1"/>
      </rPr>
      <t>Reset</t>
    </r>
  </si>
  <si>
    <t>Probability</t>
  </si>
  <si>
    <t>Shows the probability of winning a particular hand (not Joker Wild)</t>
  </si>
  <si>
    <t>Reset Score Button</t>
  </si>
  <si>
    <t>Resets all scores and tables</t>
  </si>
  <si>
    <t>Schedule</t>
  </si>
  <si>
    <r>
      <t xml:space="preserve">Shows the </t>
    </r>
    <r>
      <rPr>
        <b/>
        <sz val="10"/>
        <color indexed="9"/>
        <rFont val="Times New Roman"/>
        <family val="1"/>
      </rPr>
      <t>Payout Schedule</t>
    </r>
    <r>
      <rPr>
        <sz val="10"/>
        <color indexed="9"/>
        <rFont val="Times New Roman"/>
        <family val="1"/>
      </rPr>
      <t>, kicker details and the % Payout calculations</t>
    </r>
  </si>
  <si>
    <t>Shuffled Deck</t>
  </si>
  <si>
    <r>
      <t xml:space="preserve">When selected each game starts with the previously shuffled deck which is then shuffled again. The deck is shuffled each time </t>
    </r>
    <r>
      <rPr>
        <b/>
        <sz val="10"/>
        <color indexed="9"/>
        <rFont val="Times New Roman"/>
        <family val="1"/>
      </rPr>
      <t>Deal</t>
    </r>
    <r>
      <rPr>
        <sz val="10"/>
        <color indexed="9"/>
        <rFont val="Times New Roman"/>
        <family val="1"/>
      </rPr>
      <t xml:space="preserve"> is pressed</t>
    </r>
  </si>
  <si>
    <t>View Cards Button</t>
  </si>
  <si>
    <t>View the current hand + the next 5 cards in the deck</t>
  </si>
  <si>
    <t>View Deck Button</t>
  </si>
  <si>
    <t>View the entire shuffled deck</t>
  </si>
  <si>
    <t>Window Set/Reset</t>
  </si>
  <si>
    <t>Toggles window size,  toolbar etc between Excel and XLPoker settings. Allows access to the program code etc</t>
  </si>
  <si>
    <t>WINS</t>
  </si>
  <si>
    <t>Displays the winning amount</t>
  </si>
  <si>
    <t>Wins (%)</t>
  </si>
  <si>
    <r>
      <t xml:space="preserve">Displays the number of wins and as a percentage of the number of plays since the last </t>
    </r>
    <r>
      <rPr>
        <b/>
        <sz val="10"/>
        <color indexed="9"/>
        <rFont val="Times New Roman"/>
        <family val="1"/>
      </rPr>
      <t>Reset</t>
    </r>
    <r>
      <rPr>
        <sz val="10"/>
        <color indexed="9"/>
        <rFont val="Times New Roman"/>
        <family val="1"/>
      </rPr>
      <t>.</t>
    </r>
  </si>
  <si>
    <t>Game Types</t>
  </si>
  <si>
    <t>Card Index</t>
  </si>
  <si>
    <t>Pos 1</t>
  </si>
  <si>
    <t>Pos 2</t>
  </si>
  <si>
    <t>Pos 3</t>
  </si>
  <si>
    <t>No of Games</t>
  </si>
  <si>
    <t>Window Settings</t>
  </si>
  <si>
    <t>Left</t>
  </si>
  <si>
    <t>Top</t>
  </si>
  <si>
    <t>Width</t>
  </si>
  <si>
    <t>Height</t>
  </si>
  <si>
    <t>Max/Min</t>
  </si>
  <si>
    <t>J</t>
  </si>
  <si>
    <t>.</t>
  </si>
  <si>
    <t>HANDS WON</t>
  </si>
  <si>
    <t>Live view of chart</t>
  </si>
  <si>
    <t>Probaility of a win basd a hold</t>
  </si>
  <si>
    <t>Better pick based on  next 5 cards</t>
  </si>
  <si>
    <t>View in a separate log</t>
  </si>
  <si>
    <t>99.54%</t>
  </si>
  <si>
    <t xml:space="preserve"> </t>
  </si>
  <si>
    <t>3</t>
  </si>
  <si>
    <t>10</t>
  </si>
  <si>
    <t>35</t>
  </si>
  <si>
    <t>50</t>
  </si>
  <si>
    <t>(10)</t>
  </si>
  <si>
    <t>(30%)</t>
  </si>
  <si>
    <t>70%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</si>
</sst>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R&quot;\ * #,##0.00_ ;_ &quot;R&quot;\ * \-#,##0.00_ ;_ &quot;R&quot;\ * &quot;-&quot;??_ ;_ @_ "/>
    <numFmt numFmtId="165" formatCode="0.000"/>
    <numFmt numFmtId="166" formatCode="0.0"/>
  </numFmts>
  <fonts count="80">
    <font>
      <sz val="10"/>
      <name val="Times New Roman"/>
    </font>
    <font>
      <b/>
      <sz val="10"/>
      <name val="Times New Roman"/>
      <family val="1"/>
    </font>
    <font>
      <sz val="8"/>
      <name val="Times New Roman"/>
      <family val="1"/>
    </font>
    <font>
      <sz val="10"/>
      <name val="Symbol"/>
      <family val="1"/>
      <charset val="2"/>
    </font>
    <font>
      <sz val="10"/>
      <color indexed="10"/>
      <name val="Symbol"/>
      <family val="1"/>
      <charset val="2"/>
    </font>
    <font>
      <sz val="18"/>
      <name val="Symbol"/>
      <family val="1"/>
      <charset val="2"/>
    </font>
    <font>
      <sz val="24"/>
      <color indexed="10"/>
      <name val="Symbol"/>
      <family val="1"/>
      <charset val="2"/>
    </font>
    <font>
      <sz val="24"/>
      <name val="Times New Roman"/>
      <family val="1"/>
    </font>
    <font>
      <sz val="24"/>
      <name val="Symbol"/>
      <family val="1"/>
      <charset val="2"/>
    </font>
    <font>
      <sz val="24"/>
      <color indexed="8"/>
      <name val="Symbol"/>
      <family val="1"/>
      <charset val="2"/>
    </font>
    <font>
      <sz val="10"/>
      <color indexed="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12"/>
      <name val="Times New Roman"/>
      <family val="1"/>
    </font>
    <font>
      <sz val="10"/>
      <color indexed="13"/>
      <name val="Times New Roman"/>
      <family val="1"/>
    </font>
    <font>
      <b/>
      <sz val="10"/>
      <color indexed="13"/>
      <name val="Times New Roman"/>
      <family val="1"/>
    </font>
    <font>
      <b/>
      <sz val="14"/>
      <name val="Times New Roman"/>
      <family val="1"/>
    </font>
    <font>
      <b/>
      <sz val="14"/>
      <color indexed="13"/>
      <name val="Times New Roman"/>
      <family val="1"/>
    </font>
    <font>
      <b/>
      <sz val="10"/>
      <color indexed="8"/>
      <name val="Times New Roman"/>
      <family val="1"/>
    </font>
    <font>
      <b/>
      <sz val="14"/>
      <name val="Times New Roman"/>
      <family val="1"/>
    </font>
    <font>
      <b/>
      <sz val="8"/>
      <name val="Times New Roman"/>
      <family val="1"/>
    </font>
    <font>
      <sz val="12"/>
      <name val="Symbol"/>
      <family val="1"/>
      <charset val="2"/>
    </font>
    <font>
      <sz val="12"/>
      <color indexed="16"/>
      <name val="Symbol"/>
      <family val="1"/>
      <charset val="2"/>
    </font>
    <font>
      <sz val="16"/>
      <color indexed="8"/>
      <name val="Haettenschweiler"/>
      <family val="2"/>
    </font>
    <font>
      <sz val="12"/>
      <color indexed="8"/>
      <name val="Symbol"/>
      <family val="1"/>
      <charset val="2"/>
    </font>
    <font>
      <sz val="16"/>
      <color indexed="10"/>
      <name val="Haettenschweiler"/>
      <family val="2"/>
    </font>
    <font>
      <sz val="12"/>
      <color indexed="10"/>
      <name val="Symbol"/>
      <family val="1"/>
      <charset val="2"/>
    </font>
    <font>
      <sz val="10"/>
      <color indexed="10"/>
      <name val="Times New Roman"/>
      <family val="1"/>
    </font>
    <font>
      <b/>
      <sz val="16"/>
      <name val="Times New Roman"/>
      <family val="1"/>
    </font>
    <font>
      <sz val="10"/>
      <color indexed="9"/>
      <name val="Times New Roman"/>
      <family val="1"/>
    </font>
    <font>
      <b/>
      <sz val="10"/>
      <color indexed="9"/>
      <name val="Times New Roman"/>
      <family val="1"/>
    </font>
    <font>
      <b/>
      <i/>
      <sz val="9"/>
      <color indexed="9"/>
      <name val="Times New Roman"/>
      <family val="1"/>
    </font>
    <font>
      <b/>
      <sz val="18"/>
      <name val="Times New Roman"/>
      <family val="1"/>
    </font>
    <font>
      <b/>
      <sz val="10"/>
      <color indexed="9"/>
      <name val="Times New Roman"/>
      <family val="1"/>
    </font>
    <font>
      <b/>
      <sz val="9"/>
      <color indexed="9"/>
      <name val="Times New Roman"/>
      <family val="1"/>
    </font>
    <font>
      <b/>
      <sz val="8"/>
      <color indexed="8"/>
      <name val="Times New Roman"/>
      <family val="1"/>
    </font>
    <font>
      <b/>
      <sz val="16"/>
      <color indexed="8"/>
      <name val="Rockwell Condensed"/>
      <family val="1"/>
    </font>
    <font>
      <sz val="10"/>
      <color indexed="8"/>
      <name val="Times New Roman"/>
      <family val="1"/>
    </font>
    <font>
      <b/>
      <sz val="16"/>
      <color indexed="8"/>
      <name val="Rockwell Condensed"/>
      <family val="1"/>
    </font>
    <font>
      <sz val="48"/>
      <color indexed="8"/>
      <name val="Symbol"/>
      <family val="1"/>
      <charset val="2"/>
    </font>
    <font>
      <b/>
      <sz val="12"/>
      <name val="Times New Roman"/>
      <family val="1"/>
    </font>
    <font>
      <sz val="10"/>
      <name val="Times New Roman"/>
      <family val="1"/>
    </font>
    <font>
      <sz val="10"/>
      <color indexed="16"/>
      <name val="Times New Roman"/>
      <family val="1"/>
    </font>
    <font>
      <sz val="48"/>
      <color indexed="16"/>
      <name val="Symbol"/>
      <family val="1"/>
      <charset val="2"/>
    </font>
    <font>
      <b/>
      <sz val="8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10"/>
      <color indexed="12"/>
      <name val="Times New Roman"/>
      <family val="1"/>
    </font>
    <font>
      <sz val="10"/>
      <color indexed="9"/>
      <name val="Times New Roman"/>
      <family val="1"/>
    </font>
    <font>
      <b/>
      <sz val="12"/>
      <name val="Times New Roman"/>
      <family val="1"/>
    </font>
    <font>
      <b/>
      <sz val="16"/>
      <color indexed="12"/>
      <name val="Times New Roman"/>
      <family val="1"/>
    </font>
    <font>
      <b/>
      <sz val="16"/>
      <color indexed="10"/>
      <name val="Times New Roman"/>
      <family val="1"/>
    </font>
    <font>
      <b/>
      <sz val="14"/>
      <color indexed="35"/>
      <name val="Times New Roman"/>
      <family val="1"/>
    </font>
    <font>
      <sz val="10"/>
      <color indexed="35"/>
      <name val="Times New Roman"/>
      <family val="1"/>
    </font>
    <font>
      <b/>
      <sz val="8"/>
      <color indexed="9"/>
      <name val="Times New Roman"/>
      <family val="1"/>
    </font>
    <font>
      <sz val="10"/>
      <name val="Goudy Old Style"/>
      <family val="1"/>
    </font>
    <font>
      <b/>
      <sz val="10"/>
      <name val="Goudy Old Style"/>
      <family val="1"/>
    </font>
    <font>
      <b/>
      <sz val="14"/>
      <color indexed="9"/>
      <name val="Times New Roman"/>
      <family val="1"/>
    </font>
    <font>
      <b/>
      <sz val="10"/>
      <color indexed="10"/>
      <name val="Times New Roman"/>
      <family val="1"/>
    </font>
    <font>
      <b/>
      <sz val="14"/>
      <color indexed="10"/>
      <name val="Abadi MT Condensed Light"/>
      <family val="2"/>
    </font>
    <font>
      <b/>
      <sz val="10"/>
      <name val="Tahoma"/>
      <family val="2"/>
    </font>
    <font>
      <sz val="10"/>
      <name val="Tahoma"/>
      <family val="2"/>
    </font>
    <font>
      <b/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sz val="8"/>
      <color rgb="FF000000"/>
      <name val="Tahoma"/>
      <family val="2"/>
    </font>
    <font>
      <b/>
      <sz val="12"/>
      <color rgb="FF000000"/>
      <name val="Times New Roman"/>
      <family val="1"/>
    </font>
    <font>
      <b/>
      <sz val="12"/>
      <color rgb="FF000000"/>
      <name val="Symbol"/>
      <family val="1"/>
      <charset val="2"/>
    </font>
    <font>
      <sz val="10"/>
      <color rgb="FF000000"/>
      <name val="Times New Roman"/>
      <family val="1"/>
    </font>
    <font>
      <b/>
      <sz val="12"/>
      <name val="Symbol"/>
      <family val="1"/>
      <charset val="2"/>
    </font>
    <font>
      <sz val="12"/>
      <name val="Times New Roman"/>
      <family val="1"/>
    </font>
    <font>
      <sz val="14"/>
      <name val="Arial Narrow"/>
      <family val="2"/>
    </font>
    <font>
      <b/>
      <sz val="14"/>
      <color indexed="16"/>
      <name val="Arial Narrow"/>
      <family val="2"/>
    </font>
    <font>
      <b/>
      <sz val="14"/>
      <color indexed="8"/>
      <name val="Arial Narrow"/>
      <family val="2"/>
    </font>
    <font>
      <b/>
      <sz val="14"/>
      <name val="Arial Narrow"/>
      <family val="2"/>
    </font>
    <font>
      <sz val="10"/>
      <name val="Times New Roman"/>
      <family val="1"/>
    </font>
    <font>
      <sz val="10"/>
      <name val="Times New Roman"/>
      <family val="1"/>
    </font>
    <font>
      <b/>
      <sz val="14"/>
      <color indexed="14"/>
      <name val="Times New Roman"/>
      <family val="1"/>
    </font>
    <font>
      <sz val="28"/>
      <color indexed="8"/>
      <name val="Symbol"/>
      <family val="1"/>
      <charset val="2"/>
    </font>
    <font>
      <sz val="10"/>
      <color theme="1"/>
      <name val="Times New Roman"/>
      <family val="1"/>
    </font>
    <font>
      <sz val="14"/>
      <color rgb="FF000000"/>
      <name val="Consolas"/>
      <family val="3"/>
    </font>
    <font>
      <sz val="10"/>
      <name val="Arial Narrow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18"/>
        <bgColor indexed="24"/>
      </patternFill>
    </fill>
    <fill>
      <patternFill patternType="solid">
        <fgColor indexed="21"/>
        <bgColor indexed="24"/>
      </patternFill>
    </fill>
    <fill>
      <patternFill patternType="solid">
        <fgColor indexed="32"/>
        <bgColor indexed="24"/>
      </patternFill>
    </fill>
    <fill>
      <patternFill patternType="solid">
        <fgColor indexed="12"/>
        <bgColor indexed="24"/>
      </patternFill>
    </fill>
    <fill>
      <patternFill patternType="solid">
        <fgColor indexed="2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7"/>
        <bgColor indexed="24"/>
      </patternFill>
    </fill>
    <fill>
      <patternFill patternType="solid">
        <fgColor indexed="15"/>
        <bgColor indexed="2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indexed="1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21"/>
      </left>
      <right/>
      <top style="thick">
        <color indexed="21"/>
      </top>
      <bottom/>
      <diagonal/>
    </border>
    <border>
      <left style="thick">
        <color indexed="21"/>
      </left>
      <right/>
      <top style="thin">
        <color indexed="15"/>
      </top>
      <bottom/>
      <diagonal/>
    </border>
    <border>
      <left/>
      <right/>
      <top style="thick">
        <color indexed="21"/>
      </top>
      <bottom/>
      <diagonal/>
    </border>
    <border>
      <left/>
      <right style="thick">
        <color indexed="21"/>
      </right>
      <top style="thick">
        <color indexed="21"/>
      </top>
      <bottom/>
      <diagonal/>
    </border>
    <border>
      <left style="thick">
        <color indexed="21"/>
      </left>
      <right/>
      <top style="double">
        <color indexed="15"/>
      </top>
      <bottom style="thick">
        <color indexed="21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15"/>
      </top>
      <bottom/>
      <diagonal/>
    </border>
    <border>
      <left/>
      <right/>
      <top style="thin">
        <color indexed="15"/>
      </top>
      <bottom/>
      <diagonal/>
    </border>
    <border>
      <left/>
      <right style="thick">
        <color indexed="21"/>
      </right>
      <top style="thin">
        <color indexed="15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indexed="15"/>
      </top>
      <bottom style="thick">
        <color indexed="21"/>
      </bottom>
      <diagonal/>
    </border>
    <border>
      <left/>
      <right style="thick">
        <color indexed="21"/>
      </right>
      <top style="double">
        <color indexed="15"/>
      </top>
      <bottom style="thick">
        <color indexed="2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9"/>
      </right>
      <top style="double">
        <color indexed="64"/>
      </top>
      <bottom/>
      <diagonal/>
    </border>
    <border>
      <left/>
      <right style="double">
        <color indexed="9"/>
      </right>
      <top style="thin">
        <color indexed="15"/>
      </top>
      <bottom/>
      <diagonal/>
    </border>
    <border>
      <left/>
      <right style="double">
        <color indexed="9"/>
      </right>
      <top/>
      <bottom/>
      <diagonal/>
    </border>
    <border>
      <left style="thick">
        <color indexed="21"/>
      </left>
      <right/>
      <top/>
      <bottom/>
      <diagonal/>
    </border>
    <border>
      <left style="thick">
        <color indexed="21"/>
      </left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 style="thin">
        <color indexed="64"/>
      </right>
      <top style="thin">
        <color indexed="15"/>
      </top>
      <bottom/>
      <diagonal/>
    </border>
    <border>
      <left/>
      <right style="thin">
        <color indexed="64"/>
      </right>
      <top style="double">
        <color indexed="15"/>
      </top>
      <bottom style="thick">
        <color indexed="21"/>
      </bottom>
      <diagonal/>
    </border>
    <border>
      <left/>
      <right style="thin">
        <color indexed="64"/>
      </right>
      <top style="thick">
        <color indexed="21"/>
      </top>
      <bottom/>
      <diagonal/>
    </border>
    <border>
      <left/>
      <right style="thin">
        <color indexed="64"/>
      </right>
      <top style="thin">
        <color indexed="15"/>
      </top>
      <bottom style="thin">
        <color indexed="15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21"/>
      </left>
      <right style="double">
        <color indexed="21"/>
      </right>
      <top style="thin">
        <color indexed="15"/>
      </top>
      <bottom/>
      <diagonal/>
    </border>
    <border>
      <left style="double">
        <color indexed="21"/>
      </left>
      <right style="double">
        <color indexed="21"/>
      </right>
      <top style="thin">
        <color indexed="15"/>
      </top>
      <bottom style="thin">
        <color indexed="15"/>
      </bottom>
      <diagonal/>
    </border>
    <border>
      <left/>
      <right style="double">
        <color indexed="64"/>
      </right>
      <top/>
      <bottom style="thin">
        <color indexed="15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9"/>
      </left>
      <right style="double">
        <color indexed="8"/>
      </right>
      <top style="thin">
        <color indexed="9"/>
      </top>
      <bottom style="thin">
        <color indexed="9"/>
      </bottom>
      <diagonal/>
    </border>
    <border>
      <left style="double">
        <color indexed="8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8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3"/>
      </bottom>
      <diagonal/>
    </border>
    <border>
      <left/>
      <right/>
      <top style="medium">
        <color indexed="12"/>
      </top>
      <bottom style="medium">
        <color indexed="13"/>
      </bottom>
      <diagonal/>
    </border>
    <border>
      <left/>
      <right style="medium">
        <color indexed="12"/>
      </right>
      <top style="medium">
        <color indexed="12"/>
      </top>
      <bottom style="medium">
        <color indexed="13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9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21"/>
      </left>
      <right style="double">
        <color indexed="21"/>
      </right>
      <top style="thin">
        <color indexed="15"/>
      </top>
      <bottom style="double">
        <color indexed="64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double">
        <color indexed="64"/>
      </bottom>
      <diagonal/>
    </border>
    <border>
      <left style="thin">
        <color indexed="9"/>
      </left>
      <right style="double">
        <color indexed="8"/>
      </right>
      <top style="thin">
        <color indexed="9"/>
      </top>
      <bottom style="double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9"/>
      </left>
      <right style="thin">
        <color indexed="64"/>
      </right>
      <top style="double">
        <color indexed="64"/>
      </top>
      <bottom style="double">
        <color theme="0"/>
      </bottom>
      <diagonal/>
    </border>
    <border>
      <left/>
      <right/>
      <top style="double">
        <color indexed="64"/>
      </top>
      <bottom style="double">
        <color theme="0"/>
      </bottom>
      <diagonal/>
    </border>
    <border>
      <left/>
      <right style="double">
        <color indexed="9"/>
      </right>
      <top style="double">
        <color indexed="64"/>
      </top>
      <bottom style="double">
        <color theme="0"/>
      </bottom>
      <diagonal/>
    </border>
    <border>
      <left/>
      <right style="double">
        <color indexed="64"/>
      </right>
      <top style="double">
        <color indexed="64"/>
      </top>
      <bottom style="double">
        <color theme="0"/>
      </bottom>
      <diagonal/>
    </border>
    <border>
      <left/>
      <right style="double">
        <color indexed="64"/>
      </right>
      <top style="double">
        <color indexed="15"/>
      </top>
      <bottom style="double">
        <color indexed="15"/>
      </bottom>
      <diagonal/>
    </border>
    <border>
      <left/>
      <right style="double">
        <color indexed="9"/>
      </right>
      <top/>
      <bottom style="double">
        <color indexed="64"/>
      </bottom>
      <diagonal/>
    </border>
    <border>
      <left/>
      <right style="double">
        <color indexed="9"/>
      </right>
      <top style="double">
        <color indexed="15"/>
      </top>
      <bottom style="double">
        <color indexed="15"/>
      </bottom>
      <diagonal/>
    </border>
  </borders>
  <cellStyleXfs count="3">
    <xf numFmtId="0" fontId="0" fillId="0" borderId="0"/>
    <xf numFmtId="164" fontId="73" fillId="0" borderId="0" applyFont="0" applyFill="0" applyBorder="0" applyAlignment="0" applyProtection="0"/>
    <xf numFmtId="9" fontId="74" fillId="0" borderId="0" applyFont="0" applyFill="0" applyBorder="0" applyAlignment="0" applyProtection="0"/>
  </cellStyleXfs>
  <cellXfs count="483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1" fillId="0" borderId="0" xfId="0" applyFont="1" applyFill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0" fontId="0" fillId="4" borderId="0" xfId="0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0" xfId="0" applyAlignment="1">
      <alignment horizontal="right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left"/>
    </xf>
    <xf numFmtId="49" fontId="0" fillId="0" borderId="0" xfId="0" applyNumberFormat="1"/>
    <xf numFmtId="0" fontId="26" fillId="0" borderId="0" xfId="0" applyFont="1"/>
    <xf numFmtId="0" fontId="14" fillId="4" borderId="0" xfId="0" applyFont="1" applyFill="1" applyBorder="1" applyAlignment="1">
      <alignment horizontal="center"/>
    </xf>
    <xf numFmtId="0" fontId="0" fillId="2" borderId="0" xfId="0" applyFill="1"/>
    <xf numFmtId="0" fontId="18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9" fontId="0" fillId="4" borderId="0" xfId="0" quotePrefix="1" applyNumberFormat="1" applyFill="1"/>
    <xf numFmtId="0" fontId="14" fillId="4" borderId="6" xfId="0" applyFont="1" applyFill="1" applyBorder="1" applyAlignment="1">
      <alignment horizontal="center"/>
    </xf>
    <xf numFmtId="9" fontId="0" fillId="4" borderId="0" xfId="0" quotePrefix="1" applyNumberFormat="1" applyFill="1" applyBorder="1" applyAlignment="1">
      <alignment horizontal="center"/>
    </xf>
    <xf numFmtId="0" fontId="0" fillId="5" borderId="0" xfId="0" applyFill="1"/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left"/>
    </xf>
    <xf numFmtId="0" fontId="16" fillId="2" borderId="7" xfId="0" applyFont="1" applyFill="1" applyBorder="1" applyAlignment="1">
      <alignment horizontal="center"/>
    </xf>
    <xf numFmtId="0" fontId="14" fillId="2" borderId="7" xfId="0" applyFont="1" applyFill="1" applyBorder="1"/>
    <xf numFmtId="0" fontId="14" fillId="2" borderId="7" xfId="0" applyFont="1" applyFill="1" applyBorder="1" applyAlignment="1">
      <alignment vertical="center"/>
    </xf>
    <xf numFmtId="0" fontId="12" fillId="2" borderId="7" xfId="0" applyFont="1" applyFill="1" applyBorder="1"/>
    <xf numFmtId="0" fontId="14" fillId="2" borderId="0" xfId="0" applyFont="1" applyFill="1" applyBorder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/>
    </xf>
    <xf numFmtId="0" fontId="27" fillId="0" borderId="0" xfId="0" applyFont="1" applyAlignment="1">
      <alignment horizontal="centerContinuous"/>
    </xf>
    <xf numFmtId="0" fontId="28" fillId="6" borderId="8" xfId="0" applyFont="1" applyFill="1" applyBorder="1" applyAlignment="1"/>
    <xf numFmtId="0" fontId="32" fillId="7" borderId="9" xfId="0" applyFont="1" applyFill="1" applyBorder="1" applyAlignment="1">
      <alignment horizontal="left"/>
    </xf>
    <xf numFmtId="0" fontId="32" fillId="7" borderId="9" xfId="0" applyFont="1" applyFill="1" applyBorder="1" applyAlignment="1">
      <alignment horizontal="left" vertical="center"/>
    </xf>
    <xf numFmtId="0" fontId="33" fillId="6" borderId="10" xfId="0" applyFont="1" applyFill="1" applyBorder="1" applyAlignment="1">
      <alignment horizontal="center" vertical="center" wrapText="1"/>
    </xf>
    <xf numFmtId="0" fontId="33" fillId="6" borderId="11" xfId="0" applyFont="1" applyFill="1" applyBorder="1" applyAlignment="1">
      <alignment horizontal="center" vertical="center" wrapText="1"/>
    </xf>
    <xf numFmtId="0" fontId="31" fillId="2" borderId="0" xfId="0" applyFont="1" applyFill="1" applyAlignment="1">
      <alignment horizontal="centerContinuous"/>
    </xf>
    <xf numFmtId="0" fontId="29" fillId="7" borderId="12" xfId="0" applyFont="1" applyFill="1" applyBorder="1" applyAlignment="1">
      <alignment horizontal="left"/>
    </xf>
    <xf numFmtId="0" fontId="32" fillId="8" borderId="14" xfId="0" applyFont="1" applyFill="1" applyBorder="1" applyAlignment="1"/>
    <xf numFmtId="0" fontId="0" fillId="0" borderId="0" xfId="0" applyFill="1" applyBorder="1"/>
    <xf numFmtId="0" fontId="22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vertical="center"/>
    </xf>
    <xf numFmtId="0" fontId="30" fillId="6" borderId="8" xfId="0" applyFont="1" applyFill="1" applyBorder="1" applyAlignment="1">
      <alignment horizontal="center" vertical="center" wrapText="1"/>
    </xf>
    <xf numFmtId="165" fontId="32" fillId="8" borderId="15" xfId="0" applyNumberFormat="1" applyFont="1" applyFill="1" applyBorder="1" applyAlignment="1"/>
    <xf numFmtId="0" fontId="32" fillId="8" borderId="15" xfId="0" applyFont="1" applyFill="1" applyBorder="1" applyAlignment="1">
      <alignment horizontal="right"/>
    </xf>
    <xf numFmtId="0" fontId="32" fillId="8" borderId="15" xfId="0" applyFont="1" applyFill="1" applyBorder="1" applyAlignment="1"/>
    <xf numFmtId="0" fontId="32" fillId="9" borderId="9" xfId="0" applyFont="1" applyFill="1" applyBorder="1" applyAlignment="1"/>
    <xf numFmtId="0" fontId="32" fillId="9" borderId="9" xfId="0" applyFont="1" applyFill="1" applyBorder="1" applyAlignment="1">
      <alignment vertical="center"/>
    </xf>
    <xf numFmtId="1" fontId="0" fillId="0" borderId="17" xfId="0" applyNumberFormat="1" applyBorder="1"/>
    <xf numFmtId="1" fontId="0" fillId="0" borderId="18" xfId="0" applyNumberFormat="1" applyBorder="1"/>
    <xf numFmtId="1" fontId="1" fillId="0" borderId="19" xfId="0" applyNumberFormat="1" applyFont="1" applyBorder="1" applyAlignment="1">
      <alignment horizontal="center"/>
    </xf>
    <xf numFmtId="1" fontId="0" fillId="0" borderId="20" xfId="0" applyNumberFormat="1" applyBorder="1"/>
    <xf numFmtId="1" fontId="1" fillId="0" borderId="21" xfId="0" applyNumberFormat="1" applyFont="1" applyBorder="1" applyAlignment="1">
      <alignment horizontal="center"/>
    </xf>
    <xf numFmtId="1" fontId="0" fillId="0" borderId="22" xfId="0" applyNumberFormat="1" applyBorder="1"/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0" fontId="27" fillId="2" borderId="0" xfId="0" applyFont="1" applyFill="1" applyAlignment="1">
      <alignment horizontal="centerContinuous"/>
    </xf>
    <xf numFmtId="10" fontId="0" fillId="2" borderId="0" xfId="0" applyNumberFormat="1" applyFill="1" applyAlignment="1">
      <alignment horizontal="left"/>
    </xf>
    <xf numFmtId="0" fontId="0" fillId="2" borderId="0" xfId="0" applyFill="1" applyAlignment="1">
      <alignment vertical="center" wrapText="1"/>
    </xf>
    <xf numFmtId="2" fontId="32" fillId="8" borderId="26" xfId="0" applyNumberFormat="1" applyFont="1" applyFill="1" applyBorder="1" applyAlignment="1"/>
    <xf numFmtId="0" fontId="32" fillId="8" borderId="26" xfId="0" applyFont="1" applyFill="1" applyBorder="1" applyAlignment="1">
      <alignment horizontal="right"/>
    </xf>
    <xf numFmtId="0" fontId="32" fillId="9" borderId="12" xfId="0" applyFont="1" applyFill="1" applyBorder="1" applyAlignment="1"/>
    <xf numFmtId="0" fontId="0" fillId="2" borderId="0" xfId="0" applyFill="1" applyAlignment="1">
      <alignment horizontal="center" vertical="center" wrapText="1"/>
    </xf>
    <xf numFmtId="0" fontId="34" fillId="0" borderId="0" xfId="0" applyFont="1" applyFill="1" applyBorder="1" applyAlignment="1">
      <alignment horizontal="left" vertical="center" wrapText="1"/>
    </xf>
    <xf numFmtId="0" fontId="14" fillId="10" borderId="0" xfId="0" applyFont="1" applyFill="1" applyBorder="1" applyAlignment="1"/>
    <xf numFmtId="0" fontId="1" fillId="0" borderId="0" xfId="0" applyFont="1" applyAlignment="1">
      <alignment horizontal="center"/>
    </xf>
    <xf numFmtId="0" fontId="32" fillId="8" borderId="15" xfId="0" quotePrefix="1" applyFont="1" applyFill="1" applyBorder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2" borderId="0" xfId="0" applyFill="1" applyAlignment="1"/>
    <xf numFmtId="165" fontId="0" fillId="2" borderId="0" xfId="0" applyNumberFormat="1" applyFill="1" applyAlignment="1"/>
    <xf numFmtId="0" fontId="0" fillId="0" borderId="0" xfId="0" applyAlignment="1"/>
    <xf numFmtId="0" fontId="14" fillId="3" borderId="0" xfId="0" applyFont="1" applyFill="1" applyBorder="1"/>
    <xf numFmtId="0" fontId="14" fillId="4" borderId="0" xfId="0" applyFont="1" applyFill="1" applyBorder="1"/>
    <xf numFmtId="0" fontId="14" fillId="4" borderId="0" xfId="0" applyFont="1" applyFill="1" applyBorder="1" applyAlignment="1">
      <alignment vertical="center"/>
    </xf>
    <xf numFmtId="0" fontId="13" fillId="4" borderId="28" xfId="0" applyFont="1" applyFill="1" applyBorder="1" applyAlignment="1">
      <alignment horizontal="centerContinuous"/>
    </xf>
    <xf numFmtId="2" fontId="0" fillId="2" borderId="0" xfId="0" applyNumberFormat="1" applyFill="1"/>
    <xf numFmtId="0" fontId="40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0" fontId="32" fillId="8" borderId="32" xfId="0" applyFont="1" applyFill="1" applyBorder="1" applyAlignment="1"/>
    <xf numFmtId="0" fontId="28" fillId="6" borderId="31" xfId="0" applyFont="1" applyFill="1" applyBorder="1" applyAlignment="1"/>
    <xf numFmtId="0" fontId="28" fillId="6" borderId="33" xfId="0" applyFont="1" applyFill="1" applyBorder="1" applyAlignment="1"/>
    <xf numFmtId="0" fontId="32" fillId="7" borderId="32" xfId="0" applyFont="1" applyFill="1" applyBorder="1" applyAlignment="1">
      <alignment horizontal="left"/>
    </xf>
    <xf numFmtId="0" fontId="32" fillId="7" borderId="32" xfId="0" applyFont="1" applyFill="1" applyBorder="1" applyAlignment="1">
      <alignment horizontal="left" vertical="center"/>
    </xf>
    <xf numFmtId="1" fontId="32" fillId="8" borderId="32" xfId="0" applyNumberFormat="1" applyFont="1" applyFill="1" applyBorder="1" applyAlignment="1"/>
    <xf numFmtId="0" fontId="32" fillId="9" borderId="34" xfId="0" applyFont="1" applyFill="1" applyBorder="1" applyAlignment="1">
      <alignment vertical="center"/>
    </xf>
    <xf numFmtId="0" fontId="32" fillId="8" borderId="0" xfId="0" applyFont="1" applyFill="1" applyBorder="1" applyAlignment="1"/>
    <xf numFmtId="0" fontId="32" fillId="9" borderId="35" xfId="0" applyFont="1" applyFill="1" applyBorder="1" applyAlignment="1">
      <alignment vertical="center"/>
    </xf>
    <xf numFmtId="0" fontId="32" fillId="8" borderId="36" xfId="0" applyFont="1" applyFill="1" applyBorder="1" applyAlignment="1"/>
    <xf numFmtId="0" fontId="32" fillId="8" borderId="37" xfId="0" applyFont="1" applyFill="1" applyBorder="1" applyAlignment="1">
      <alignment horizontal="right"/>
    </xf>
    <xf numFmtId="0" fontId="32" fillId="8" borderId="37" xfId="0" applyFont="1" applyFill="1" applyBorder="1" applyAlignment="1"/>
    <xf numFmtId="0" fontId="33" fillId="6" borderId="39" xfId="0" applyFont="1" applyFill="1" applyBorder="1" applyAlignment="1">
      <alignment horizontal="center" vertical="center" wrapText="1"/>
    </xf>
    <xf numFmtId="0" fontId="32" fillId="8" borderId="40" xfId="0" applyFont="1" applyFill="1" applyBorder="1" applyAlignment="1"/>
    <xf numFmtId="0" fontId="40" fillId="0" borderId="0" xfId="0" applyFont="1"/>
    <xf numFmtId="0" fontId="44" fillId="0" borderId="0" xfId="0" applyFont="1"/>
    <xf numFmtId="0" fontId="1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0" fillId="12" borderId="0" xfId="0" applyFill="1"/>
    <xf numFmtId="0" fontId="0" fillId="12" borderId="0" xfId="0" applyFill="1" applyBorder="1" applyAlignment="1">
      <alignment horizontal="center"/>
    </xf>
    <xf numFmtId="0" fontId="45" fillId="13" borderId="41" xfId="0" applyFont="1" applyFill="1" applyBorder="1" applyAlignment="1">
      <alignment horizontal="center" vertical="center" wrapText="1"/>
    </xf>
    <xf numFmtId="0" fontId="17" fillId="12" borderId="13" xfId="0" applyFont="1" applyFill="1" applyBorder="1" applyAlignment="1">
      <alignment horizontal="center"/>
    </xf>
    <xf numFmtId="0" fontId="17" fillId="12" borderId="5" xfId="0" applyFont="1" applyFill="1" applyBorder="1" applyAlignment="1">
      <alignment horizontal="center"/>
    </xf>
    <xf numFmtId="0" fontId="45" fillId="13" borderId="42" xfId="0" applyFont="1" applyFill="1" applyBorder="1" applyAlignment="1">
      <alignment horizontal="center" vertical="center" wrapText="1"/>
    </xf>
    <xf numFmtId="0" fontId="32" fillId="8" borderId="37" xfId="0" quotePrefix="1" applyFont="1" applyFill="1" applyBorder="1" applyAlignment="1">
      <alignment horizontal="right"/>
    </xf>
    <xf numFmtId="0" fontId="14" fillId="10" borderId="0" xfId="0" applyFont="1" applyFill="1" applyBorder="1" applyAlignment="1">
      <alignment horizontal="right"/>
    </xf>
    <xf numFmtId="0" fontId="14" fillId="8" borderId="43" xfId="0" applyFont="1" applyFill="1" applyBorder="1" applyAlignment="1">
      <alignment vertical="center"/>
    </xf>
    <xf numFmtId="0" fontId="14" fillId="8" borderId="44" xfId="0" applyFont="1" applyFill="1" applyBorder="1" applyAlignment="1">
      <alignment vertical="center"/>
    </xf>
    <xf numFmtId="0" fontId="32" fillId="9" borderId="44" xfId="0" applyFont="1" applyFill="1" applyBorder="1" applyAlignment="1">
      <alignment vertical="center"/>
    </xf>
    <xf numFmtId="0" fontId="17" fillId="12" borderId="45" xfId="0" applyFont="1" applyFill="1" applyBorder="1" applyAlignment="1">
      <alignment horizontal="center"/>
    </xf>
    <xf numFmtId="0" fontId="0" fillId="14" borderId="46" xfId="0" applyFill="1" applyBorder="1"/>
    <xf numFmtId="0" fontId="0" fillId="12" borderId="47" xfId="0" applyFill="1" applyBorder="1"/>
    <xf numFmtId="0" fontId="32" fillId="15" borderId="44" xfId="0" applyFont="1" applyFill="1" applyBorder="1" applyAlignment="1">
      <alignment vertical="center"/>
    </xf>
    <xf numFmtId="9" fontId="32" fillId="8" borderId="32" xfId="0" applyNumberFormat="1" applyFont="1" applyFill="1" applyBorder="1" applyAlignment="1"/>
    <xf numFmtId="0" fontId="2" fillId="0" borderId="0" xfId="0" applyFont="1"/>
    <xf numFmtId="0" fontId="44" fillId="0" borderId="0" xfId="0" applyFont="1" applyBorder="1"/>
    <xf numFmtId="0" fontId="1" fillId="0" borderId="0" xfId="0" applyFont="1"/>
    <xf numFmtId="0" fontId="10" fillId="0" borderId="0" xfId="0" applyFont="1" applyFill="1" applyBorder="1"/>
    <xf numFmtId="9" fontId="17" fillId="0" borderId="0" xfId="0" applyNumberFormat="1" applyFont="1" applyFill="1" applyBorder="1" applyAlignment="1"/>
    <xf numFmtId="0" fontId="19" fillId="0" borderId="0" xfId="0" applyFont="1"/>
    <xf numFmtId="0" fontId="40" fillId="0" borderId="0" xfId="0" applyFont="1" applyFill="1"/>
    <xf numFmtId="0" fontId="13" fillId="3" borderId="48" xfId="0" applyFont="1" applyFill="1" applyBorder="1" applyAlignment="1">
      <alignment horizontal="center"/>
    </xf>
    <xf numFmtId="0" fontId="14" fillId="3" borderId="49" xfId="0" applyFont="1" applyFill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0" fontId="1" fillId="12" borderId="0" xfId="0" applyFont="1" applyFill="1" applyBorder="1" applyAlignment="1">
      <alignment horizontal="right"/>
    </xf>
    <xf numFmtId="0" fontId="0" fillId="12" borderId="0" xfId="0" quotePrefix="1" applyFill="1" applyBorder="1" applyAlignment="1">
      <alignment horizontal="left"/>
    </xf>
    <xf numFmtId="0" fontId="1" fillId="12" borderId="0" xfId="0" applyFont="1" applyFill="1"/>
    <xf numFmtId="165" fontId="1" fillId="12" borderId="0" xfId="0" applyNumberFormat="1" applyFont="1" applyFill="1" applyBorder="1" applyAlignment="1">
      <alignment horizontal="center"/>
    </xf>
    <xf numFmtId="0" fontId="1" fillId="12" borderId="0" xfId="0" applyFont="1" applyFill="1" applyAlignment="1">
      <alignment horizontal="right"/>
    </xf>
    <xf numFmtId="2" fontId="36" fillId="16" borderId="0" xfId="0" quotePrefix="1" applyNumberFormat="1" applyFont="1" applyFill="1" applyBorder="1" applyAlignment="1"/>
    <xf numFmtId="0" fontId="1" fillId="12" borderId="0" xfId="0" quotePrefix="1" applyFont="1" applyFill="1" applyAlignment="1">
      <alignment horizontal="center"/>
    </xf>
    <xf numFmtId="0" fontId="47" fillId="2" borderId="0" xfId="0" applyFont="1" applyFill="1"/>
    <xf numFmtId="0" fontId="45" fillId="2" borderId="0" xfId="0" applyFont="1" applyFill="1"/>
    <xf numFmtId="0" fontId="45" fillId="2" borderId="0" xfId="0" applyFont="1" applyFill="1" applyAlignme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17" borderId="0" xfId="0" applyFill="1"/>
    <xf numFmtId="0" fontId="14" fillId="17" borderId="0" xfId="0" applyFont="1" applyFill="1" applyBorder="1" applyAlignment="1">
      <alignment horizontal="center"/>
    </xf>
    <xf numFmtId="0" fontId="0" fillId="17" borderId="0" xfId="0" applyFill="1" applyBorder="1"/>
    <xf numFmtId="0" fontId="13" fillId="17" borderId="2" xfId="0" applyFont="1" applyFill="1" applyBorder="1" applyAlignment="1">
      <alignment horizontal="centerContinuous"/>
    </xf>
    <xf numFmtId="0" fontId="0" fillId="17" borderId="2" xfId="0" applyFill="1" applyBorder="1" applyAlignment="1">
      <alignment horizontal="center"/>
    </xf>
    <xf numFmtId="0" fontId="0" fillId="12" borderId="0" xfId="0" quotePrefix="1" applyFill="1"/>
    <xf numFmtId="0" fontId="12" fillId="4" borderId="3" xfId="0" applyFont="1" applyFill="1" applyBorder="1" applyAlignment="1">
      <alignment horizontal="center"/>
    </xf>
    <xf numFmtId="0" fontId="12" fillId="4" borderId="0" xfId="0" applyFont="1" applyFill="1" applyBorder="1"/>
    <xf numFmtId="0" fontId="0" fillId="13" borderId="50" xfId="0" applyFill="1" applyBorder="1" applyAlignment="1">
      <alignment horizontal="centerContinuous"/>
    </xf>
    <xf numFmtId="0" fontId="49" fillId="13" borderId="50" xfId="0" applyFont="1" applyFill="1" applyBorder="1" applyAlignment="1">
      <alignment horizontal="centerContinuous"/>
    </xf>
    <xf numFmtId="0" fontId="46" fillId="13" borderId="50" xfId="0" applyFont="1" applyFill="1" applyBorder="1" applyAlignment="1">
      <alignment horizontal="centerContinuous"/>
    </xf>
    <xf numFmtId="0" fontId="39" fillId="13" borderId="0" xfId="0" applyFont="1" applyFill="1" applyBorder="1"/>
    <xf numFmtId="0" fontId="0" fillId="13" borderId="5" xfId="0" applyFill="1" applyBorder="1"/>
    <xf numFmtId="0" fontId="0" fillId="13" borderId="0" xfId="0" applyFill="1" applyBorder="1"/>
    <xf numFmtId="0" fontId="0" fillId="13" borderId="0" xfId="0" applyFill="1" applyBorder="1" applyAlignment="1">
      <alignment vertical="center"/>
    </xf>
    <xf numFmtId="0" fontId="0" fillId="13" borderId="5" xfId="0" applyFill="1" applyBorder="1" applyAlignment="1">
      <alignment vertical="center"/>
    </xf>
    <xf numFmtId="0" fontId="0" fillId="13" borderId="1" xfId="0" applyFill="1" applyBorder="1"/>
    <xf numFmtId="0" fontId="0" fillId="13" borderId="47" xfId="0" applyFill="1" applyBorder="1"/>
    <xf numFmtId="0" fontId="0" fillId="13" borderId="3" xfId="0" applyFill="1" applyBorder="1"/>
    <xf numFmtId="0" fontId="0" fillId="13" borderId="0" xfId="0" applyFill="1" applyBorder="1" applyAlignment="1">
      <alignment horizontal="center"/>
    </xf>
    <xf numFmtId="0" fontId="0" fillId="13" borderId="46" xfId="0" applyFill="1" applyBorder="1"/>
    <xf numFmtId="0" fontId="0" fillId="1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7" fillId="13" borderId="0" xfId="0" applyFont="1" applyFill="1" applyBorder="1" applyAlignment="1">
      <alignment vertical="center"/>
    </xf>
    <xf numFmtId="0" fontId="8" fillId="13" borderId="0" xfId="0" applyFont="1" applyFill="1" applyBorder="1" applyAlignment="1">
      <alignment horizontal="center" vertical="center"/>
    </xf>
    <xf numFmtId="0" fontId="50" fillId="13" borderId="50" xfId="0" applyFont="1" applyFill="1" applyBorder="1" applyAlignment="1">
      <alignment horizontal="centerContinuous"/>
    </xf>
    <xf numFmtId="0" fontId="51" fillId="13" borderId="0" xfId="0" applyFont="1" applyFill="1" applyBorder="1" applyAlignment="1">
      <alignment horizontal="center"/>
    </xf>
    <xf numFmtId="0" fontId="52" fillId="13" borderId="0" xfId="0" applyFont="1" applyFill="1"/>
    <xf numFmtId="0" fontId="52" fillId="13" borderId="0" xfId="0" applyFont="1" applyFill="1" applyBorder="1"/>
    <xf numFmtId="0" fontId="52" fillId="13" borderId="0" xfId="0" applyFont="1" applyFill="1" applyBorder="1" applyAlignment="1">
      <alignment horizontal="center"/>
    </xf>
    <xf numFmtId="0" fontId="26" fillId="13" borderId="50" xfId="0" applyFont="1" applyFill="1" applyBorder="1" applyAlignment="1">
      <alignment horizontal="centerContinuous"/>
    </xf>
    <xf numFmtId="0" fontId="1" fillId="12" borderId="51" xfId="0" applyFont="1" applyFill="1" applyBorder="1"/>
    <xf numFmtId="0" fontId="19" fillId="12" borderId="51" xfId="0" applyFont="1" applyFill="1" applyBorder="1"/>
    <xf numFmtId="0" fontId="53" fillId="18" borderId="52" xfId="0" applyFont="1" applyFill="1" applyBorder="1" applyAlignment="1">
      <alignment vertical="center"/>
    </xf>
    <xf numFmtId="0" fontId="1" fillId="19" borderId="53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5" xfId="0" applyFont="1" applyFill="1" applyBorder="1" applyAlignment="1">
      <alignment horizontal="center"/>
    </xf>
    <xf numFmtId="0" fontId="40" fillId="19" borderId="3" xfId="0" applyFont="1" applyFill="1" applyBorder="1" applyAlignment="1">
      <alignment horizontal="center"/>
    </xf>
    <xf numFmtId="0" fontId="44" fillId="19" borderId="0" xfId="0" applyFont="1" applyFill="1" applyBorder="1"/>
    <xf numFmtId="0" fontId="0" fillId="19" borderId="0" xfId="0" applyFill="1" applyBorder="1" applyAlignment="1">
      <alignment horizontal="center"/>
    </xf>
    <xf numFmtId="0" fontId="40" fillId="19" borderId="46" xfId="0" applyFont="1" applyFill="1" applyBorder="1" applyAlignment="1">
      <alignment horizontal="center"/>
    </xf>
    <xf numFmtId="0" fontId="44" fillId="19" borderId="1" xfId="0" applyFont="1" applyFill="1" applyBorder="1"/>
    <xf numFmtId="0" fontId="0" fillId="19" borderId="1" xfId="0" applyFill="1" applyBorder="1" applyAlignment="1">
      <alignment horizontal="center"/>
    </xf>
    <xf numFmtId="0" fontId="1" fillId="12" borderId="54" xfId="0" applyFont="1" applyFill="1" applyBorder="1" applyAlignment="1">
      <alignment horizontal="center"/>
    </xf>
    <xf numFmtId="0" fontId="1" fillId="12" borderId="55" xfId="0" applyFont="1" applyFill="1" applyBorder="1" applyAlignment="1">
      <alignment horizontal="center"/>
    </xf>
    <xf numFmtId="0" fontId="1" fillId="12" borderId="56" xfId="0" applyFont="1" applyFill="1" applyBorder="1" applyAlignment="1">
      <alignment horizontal="center"/>
    </xf>
    <xf numFmtId="0" fontId="0" fillId="12" borderId="57" xfId="0" applyFill="1" applyBorder="1"/>
    <xf numFmtId="0" fontId="0" fillId="12" borderId="58" xfId="0" applyFill="1" applyBorder="1"/>
    <xf numFmtId="0" fontId="1" fillId="12" borderId="58" xfId="0" applyFont="1" applyFill="1" applyBorder="1"/>
    <xf numFmtId="0" fontId="0" fillId="12" borderId="59" xfId="0" applyFill="1" applyBorder="1"/>
    <xf numFmtId="0" fontId="0" fillId="20" borderId="60" xfId="0" applyFill="1" applyBorder="1"/>
    <xf numFmtId="0" fontId="0" fillId="20" borderId="61" xfId="0" applyFill="1" applyBorder="1"/>
    <xf numFmtId="0" fontId="1" fillId="20" borderId="62" xfId="0" applyFont="1" applyFill="1" applyBorder="1"/>
    <xf numFmtId="0" fontId="1" fillId="20" borderId="63" xfId="0" applyFont="1" applyFill="1" applyBorder="1"/>
    <xf numFmtId="0" fontId="40" fillId="2" borderId="0" xfId="0" applyFont="1" applyFill="1"/>
    <xf numFmtId="0" fontId="0" fillId="17" borderId="2" xfId="0" applyFill="1" applyBorder="1" applyAlignment="1">
      <alignment horizontal="centerContinuous"/>
    </xf>
    <xf numFmtId="0" fontId="26" fillId="21" borderId="64" xfId="0" applyFont="1" applyFill="1" applyBorder="1" applyAlignment="1">
      <alignment horizontal="centerContinuous"/>
    </xf>
    <xf numFmtId="0" fontId="26" fillId="21" borderId="65" xfId="0" applyFont="1" applyFill="1" applyBorder="1" applyAlignment="1">
      <alignment horizontal="centerContinuous"/>
    </xf>
    <xf numFmtId="0" fontId="26" fillId="21" borderId="66" xfId="0" applyFont="1" applyFill="1" applyBorder="1" applyAlignment="1">
      <alignment horizontal="centerContinuous"/>
    </xf>
    <xf numFmtId="0" fontId="54" fillId="13" borderId="0" xfId="0" applyFont="1" applyFill="1"/>
    <xf numFmtId="0" fontId="55" fillId="13" borderId="0" xfId="0" applyFont="1" applyFill="1" applyAlignment="1">
      <alignment horizontal="center"/>
    </xf>
    <xf numFmtId="0" fontId="55" fillId="13" borderId="0" xfId="0" applyFont="1" applyFill="1" applyBorder="1" applyAlignment="1">
      <alignment horizontal="center" vertical="center"/>
    </xf>
    <xf numFmtId="0" fontId="43" fillId="12" borderId="51" xfId="0" applyFont="1" applyFill="1" applyBorder="1"/>
    <xf numFmtId="0" fontId="1" fillId="2" borderId="0" xfId="0" applyFont="1" applyFill="1"/>
    <xf numFmtId="0" fontId="32" fillId="22" borderId="67" xfId="0" quotePrefix="1" applyFont="1" applyFill="1" applyBorder="1" applyAlignment="1">
      <alignment horizontal="right"/>
    </xf>
    <xf numFmtId="0" fontId="32" fillId="22" borderId="67" xfId="0" applyFont="1" applyFill="1" applyBorder="1" applyAlignment="1"/>
    <xf numFmtId="2" fontId="32" fillId="22" borderId="67" xfId="0" applyNumberFormat="1" applyFont="1" applyFill="1" applyBorder="1" applyAlignment="1"/>
    <xf numFmtId="0" fontId="33" fillId="22" borderId="67" xfId="0" applyFont="1" applyFill="1" applyBorder="1" applyAlignment="1">
      <alignment horizontal="center" vertical="center" wrapText="1"/>
    </xf>
    <xf numFmtId="0" fontId="32" fillId="22" borderId="67" xfId="0" applyFont="1" applyFill="1" applyBorder="1" applyAlignment="1">
      <alignment horizontal="right"/>
    </xf>
    <xf numFmtId="0" fontId="11" fillId="22" borderId="67" xfId="0" applyFont="1" applyFill="1" applyBorder="1" applyAlignment="1"/>
    <xf numFmtId="0" fontId="43" fillId="12" borderId="68" xfId="0" applyFont="1" applyFill="1" applyBorder="1"/>
    <xf numFmtId="0" fontId="19" fillId="12" borderId="68" xfId="0" applyFont="1" applyFill="1" applyBorder="1"/>
    <xf numFmtId="0" fontId="33" fillId="6" borderId="11" xfId="0" applyFont="1" applyFill="1" applyBorder="1" applyAlignment="1">
      <alignment horizontal="center" vertical="top" wrapText="1"/>
    </xf>
    <xf numFmtId="0" fontId="1" fillId="19" borderId="69" xfId="0" applyFont="1" applyFill="1" applyBorder="1" applyAlignment="1">
      <alignment horizontal="center"/>
    </xf>
    <xf numFmtId="0" fontId="1" fillId="19" borderId="70" xfId="0" applyFont="1" applyFill="1" applyBorder="1" applyAlignment="1">
      <alignment horizontal="center"/>
    </xf>
    <xf numFmtId="0" fontId="32" fillId="15" borderId="71" xfId="0" applyFont="1" applyFill="1" applyBorder="1" applyAlignment="1">
      <alignment vertical="center"/>
    </xf>
    <xf numFmtId="0" fontId="19" fillId="12" borderId="72" xfId="0" applyFont="1" applyFill="1" applyBorder="1"/>
    <xf numFmtId="0" fontId="1" fillId="12" borderId="73" xfId="0" applyFont="1" applyFill="1" applyBorder="1"/>
    <xf numFmtId="0" fontId="43" fillId="12" borderId="73" xfId="0" applyFont="1" applyFill="1" applyBorder="1"/>
    <xf numFmtId="0" fontId="19" fillId="12" borderId="74" xfId="0" applyFont="1" applyFill="1" applyBorder="1"/>
    <xf numFmtId="0" fontId="4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40" fillId="0" borderId="0" xfId="0" applyFont="1" applyAlignment="1">
      <alignment wrapText="1"/>
    </xf>
    <xf numFmtId="0" fontId="47" fillId="23" borderId="0" xfId="0" applyFont="1" applyFill="1"/>
    <xf numFmtId="0" fontId="56" fillId="23" borderId="0" xfId="0" applyFont="1" applyFill="1" applyAlignment="1">
      <alignment horizontal="center"/>
    </xf>
    <xf numFmtId="0" fontId="56" fillId="23" borderId="75" xfId="0" applyFont="1" applyFill="1" applyBorder="1" applyAlignment="1">
      <alignment horizontal="center"/>
    </xf>
    <xf numFmtId="0" fontId="1" fillId="0" borderId="7" xfId="0" applyFont="1" applyBorder="1"/>
    <xf numFmtId="0" fontId="0" fillId="0" borderId="17" xfId="0" applyBorder="1"/>
    <xf numFmtId="0" fontId="1" fillId="0" borderId="76" xfId="0" applyFont="1" applyBorder="1"/>
    <xf numFmtId="0" fontId="0" fillId="0" borderId="18" xfId="0" applyBorder="1"/>
    <xf numFmtId="0" fontId="0" fillId="0" borderId="77" xfId="0" applyBorder="1"/>
    <xf numFmtId="0" fontId="0" fillId="0" borderId="30" xfId="0" applyBorder="1"/>
    <xf numFmtId="0" fontId="1" fillId="0" borderId="78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left"/>
    </xf>
    <xf numFmtId="0" fontId="0" fillId="0" borderId="25" xfId="0" applyBorder="1"/>
    <xf numFmtId="0" fontId="0" fillId="13" borderId="50" xfId="0" applyFill="1" applyBorder="1" applyAlignment="1"/>
    <xf numFmtId="0" fontId="48" fillId="13" borderId="50" xfId="0" applyFont="1" applyFill="1" applyBorder="1" applyAlignment="1">
      <alignment horizontal="centerContinuous"/>
    </xf>
    <xf numFmtId="0" fontId="0" fillId="13" borderId="13" xfId="0" applyFill="1" applyBorder="1" applyAlignment="1"/>
    <xf numFmtId="0" fontId="57" fillId="24" borderId="23" xfId="0" applyFont="1" applyFill="1" applyBorder="1" applyAlignment="1">
      <alignment horizontal="center"/>
    </xf>
    <xf numFmtId="0" fontId="57" fillId="24" borderId="25" xfId="0" applyFont="1" applyFill="1" applyBorder="1" applyAlignment="1">
      <alignment horizontal="center"/>
    </xf>
    <xf numFmtId="0" fontId="26" fillId="11" borderId="19" xfId="0" applyFont="1" applyFill="1" applyBorder="1" applyAlignment="1">
      <alignment horizontal="center"/>
    </xf>
    <xf numFmtId="0" fontId="26" fillId="11" borderId="21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14" fillId="10" borderId="0" xfId="0" quotePrefix="1" applyFont="1" applyFill="1" applyBorder="1" applyAlignment="1">
      <alignment horizontal="right"/>
    </xf>
    <xf numFmtId="0" fontId="14" fillId="3" borderId="49" xfId="0" quotePrefix="1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 vertical="center"/>
    </xf>
    <xf numFmtId="0" fontId="0" fillId="25" borderId="0" xfId="0" applyFill="1"/>
    <xf numFmtId="0" fontId="0" fillId="0" borderId="0" xfId="0" applyFill="1"/>
    <xf numFmtId="0" fontId="58" fillId="4" borderId="2" xfId="0" applyFont="1" applyFill="1" applyBorder="1" applyAlignment="1">
      <alignment horizontal="centerContinuous"/>
    </xf>
    <xf numFmtId="0" fontId="14" fillId="3" borderId="0" xfId="0" applyFont="1" applyFill="1" applyBorder="1" applyAlignment="1">
      <alignment vertical="center"/>
    </xf>
    <xf numFmtId="0" fontId="14" fillId="3" borderId="49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left"/>
    </xf>
    <xf numFmtId="49" fontId="0" fillId="12" borderId="0" xfId="0" quotePrefix="1" applyNumberFormat="1" applyFill="1" applyBorder="1" applyAlignment="1">
      <alignment horizontal="left"/>
    </xf>
    <xf numFmtId="0" fontId="59" fillId="12" borderId="0" xfId="0" applyFont="1" applyFill="1" applyBorder="1" applyAlignment="1">
      <alignment horizontal="center"/>
    </xf>
    <xf numFmtId="165" fontId="59" fillId="12" borderId="0" xfId="0" applyNumberFormat="1" applyFont="1" applyFill="1" applyBorder="1" applyAlignment="1">
      <alignment horizontal="center"/>
    </xf>
    <xf numFmtId="0" fontId="60" fillId="12" borderId="0" xfId="0" applyFont="1" applyFill="1" applyBorder="1" applyAlignment="1">
      <alignment horizontal="center"/>
    </xf>
    <xf numFmtId="1" fontId="32" fillId="8" borderId="26" xfId="0" applyNumberFormat="1" applyFont="1" applyFill="1" applyBorder="1" applyAlignment="1"/>
    <xf numFmtId="1" fontId="32" fillId="8" borderId="38" xfId="0" applyNumberFormat="1" applyFont="1" applyFill="1" applyBorder="1" applyAlignment="1"/>
    <xf numFmtId="3" fontId="32" fillId="8" borderId="26" xfId="0" applyNumberFormat="1" applyFont="1" applyFill="1" applyBorder="1" applyAlignment="1"/>
    <xf numFmtId="0" fontId="23" fillId="2" borderId="0" xfId="0" applyFont="1" applyFill="1" applyBorder="1" applyAlignment="1">
      <alignment horizontal="center" vertical="center"/>
    </xf>
    <xf numFmtId="0" fontId="20" fillId="13" borderId="3" xfId="0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vertical="center"/>
    </xf>
    <xf numFmtId="0" fontId="20" fillId="13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center" vertical="center"/>
    </xf>
    <xf numFmtId="0" fontId="20" fillId="13" borderId="0" xfId="0" applyFont="1" applyFill="1" applyBorder="1" applyAlignment="1">
      <alignment horizontal="center" vertical="center"/>
    </xf>
    <xf numFmtId="0" fontId="20" fillId="25" borderId="0" xfId="0" applyFont="1" applyFill="1" applyAlignment="1">
      <alignment vertical="center"/>
    </xf>
    <xf numFmtId="0" fontId="20" fillId="13" borderId="5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13" borderId="3" xfId="0" applyFont="1" applyFill="1" applyBorder="1" applyAlignment="1">
      <alignment horizontal="center" vertical="center"/>
    </xf>
    <xf numFmtId="0" fontId="20" fillId="13" borderId="5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7" fillId="2" borderId="0" xfId="0" applyFont="1" applyFill="1" applyBorder="1" applyAlignment="1">
      <alignment horizontal="center" vertical="center"/>
    </xf>
    <xf numFmtId="0" fontId="68" fillId="2" borderId="0" xfId="0" applyFont="1" applyFill="1" applyBorder="1"/>
    <xf numFmtId="0" fontId="70" fillId="2" borderId="0" xfId="0" applyFont="1" applyFill="1" applyBorder="1" applyAlignment="1">
      <alignment horizontal="center"/>
    </xf>
    <xf numFmtId="0" fontId="69" fillId="2" borderId="0" xfId="0" applyFont="1" applyFill="1" applyBorder="1" applyAlignment="1">
      <alignment horizontal="center"/>
    </xf>
    <xf numFmtId="0" fontId="69" fillId="13" borderId="0" xfId="0" applyFont="1" applyFill="1" applyBorder="1" applyAlignment="1">
      <alignment horizontal="center"/>
    </xf>
    <xf numFmtId="0" fontId="71" fillId="2" borderId="0" xfId="0" applyFont="1" applyFill="1" applyBorder="1" applyAlignment="1">
      <alignment horizontal="center"/>
    </xf>
    <xf numFmtId="0" fontId="70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center" vertical="center"/>
    </xf>
    <xf numFmtId="166" fontId="32" fillId="8" borderId="0" xfId="0" applyNumberFormat="1" applyFont="1" applyFill="1" applyBorder="1" applyAlignment="1"/>
    <xf numFmtId="166" fontId="32" fillId="8" borderId="20" xfId="0" applyNumberFormat="1" applyFont="1" applyFill="1" applyBorder="1" applyAlignment="1">
      <alignment horizontal="right"/>
    </xf>
    <xf numFmtId="0" fontId="69" fillId="2" borderId="0" xfId="0" applyFont="1" applyFill="1" applyBorder="1" applyAlignment="1">
      <alignment vertical="center"/>
    </xf>
    <xf numFmtId="0" fontId="69" fillId="13" borderId="3" xfId="0" applyFont="1" applyFill="1" applyBorder="1" applyAlignment="1">
      <alignment vertical="center"/>
    </xf>
    <xf numFmtId="0" fontId="69" fillId="2" borderId="0" xfId="0" applyFont="1" applyFill="1" applyAlignment="1">
      <alignment vertical="center"/>
    </xf>
    <xf numFmtId="0" fontId="69" fillId="13" borderId="0" xfId="0" applyFont="1" applyFill="1" applyBorder="1" applyAlignment="1">
      <alignment vertical="center"/>
    </xf>
    <xf numFmtId="0" fontId="69" fillId="2" borderId="0" xfId="0" applyFont="1" applyFill="1" applyBorder="1" applyAlignment="1">
      <alignment horizontal="center" vertical="center"/>
    </xf>
    <xf numFmtId="0" fontId="69" fillId="13" borderId="0" xfId="0" applyFont="1" applyFill="1" applyBorder="1" applyAlignment="1">
      <alignment horizontal="center" vertical="center"/>
    </xf>
    <xf numFmtId="0" fontId="72" fillId="13" borderId="0" xfId="0" applyFont="1" applyFill="1" applyBorder="1" applyAlignment="1">
      <alignment vertical="center"/>
    </xf>
    <xf numFmtId="0" fontId="69" fillId="13" borderId="5" xfId="0" applyFont="1" applyFill="1" applyBorder="1" applyAlignment="1">
      <alignment vertical="center"/>
    </xf>
    <xf numFmtId="0" fontId="69" fillId="0" borderId="0" xfId="0" applyFont="1" applyAlignment="1">
      <alignment vertical="center"/>
    </xf>
    <xf numFmtId="0" fontId="69" fillId="2" borderId="0" xfId="0" applyFont="1" applyFill="1" applyAlignment="1"/>
    <xf numFmtId="0" fontId="69" fillId="13" borderId="3" xfId="0" applyFont="1" applyFill="1" applyBorder="1" applyAlignment="1"/>
    <xf numFmtId="0" fontId="69" fillId="2" borderId="0" xfId="0" applyFont="1" applyFill="1" applyBorder="1" applyAlignment="1"/>
    <xf numFmtId="0" fontId="69" fillId="13" borderId="0" xfId="0" applyFont="1" applyFill="1" applyBorder="1" applyAlignment="1"/>
    <xf numFmtId="0" fontId="69" fillId="13" borderId="5" xfId="0" applyFont="1" applyFill="1" applyBorder="1" applyAlignment="1"/>
    <xf numFmtId="0" fontId="69" fillId="0" borderId="0" xfId="0" applyFont="1" applyAlignment="1"/>
    <xf numFmtId="0" fontId="50" fillId="13" borderId="80" xfId="0" applyFont="1" applyFill="1" applyBorder="1" applyAlignment="1">
      <alignment horizontal="centerContinuous" vertical="center"/>
    </xf>
    <xf numFmtId="164" fontId="20" fillId="25" borderId="0" xfId="1" applyFont="1" applyFill="1" applyAlignment="1">
      <alignment vertical="center"/>
    </xf>
    <xf numFmtId="164" fontId="0" fillId="25" borderId="0" xfId="1" applyFont="1" applyFill="1"/>
    <xf numFmtId="0" fontId="0" fillId="12" borderId="0" xfId="0" quotePrefix="1" applyFill="1" applyBorder="1" applyAlignment="1">
      <alignment horizontal="center"/>
    </xf>
    <xf numFmtId="9" fontId="0" fillId="2" borderId="0" xfId="2" applyFont="1" applyFill="1" applyAlignment="1">
      <alignment horizontal="center"/>
    </xf>
    <xf numFmtId="9" fontId="0" fillId="0" borderId="0" xfId="2" applyFont="1" applyAlignment="1">
      <alignment horizontal="center"/>
    </xf>
    <xf numFmtId="9" fontId="10" fillId="0" borderId="0" xfId="2" applyFont="1" applyAlignment="1">
      <alignment horizontal="center"/>
    </xf>
    <xf numFmtId="9" fontId="0" fillId="2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0" fillId="0" borderId="0" xfId="0" applyFill="1" applyBorder="1" applyAlignment="1">
      <alignment horizontal="center"/>
    </xf>
    <xf numFmtId="0" fontId="14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14" fillId="0" borderId="0" xfId="0" quotePrefix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49" fontId="0" fillId="0" borderId="0" xfId="0" quotePrefix="1" applyNumberFormat="1" applyFill="1" applyBorder="1" applyAlignment="1">
      <alignment horizontal="left"/>
    </xf>
    <xf numFmtId="0" fontId="14" fillId="0" borderId="0" xfId="0" applyFont="1" applyFill="1" applyBorder="1" applyAlignment="1">
      <alignment vertical="center"/>
    </xf>
    <xf numFmtId="165" fontId="1" fillId="0" borderId="0" xfId="0" applyNumberFormat="1" applyFont="1" applyFill="1" applyBorder="1" applyAlignment="1">
      <alignment horizontal="center"/>
    </xf>
    <xf numFmtId="165" fontId="59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2" fontId="36" fillId="0" borderId="0" xfId="0" quotePrefix="1" applyNumberFormat="1" applyFont="1" applyFill="1" applyBorder="1" applyAlignment="1"/>
    <xf numFmtId="0" fontId="14" fillId="0" borderId="0" xfId="0" applyFont="1" applyFill="1" applyBorder="1" applyAlignment="1">
      <alignment horizontal="center"/>
    </xf>
    <xf numFmtId="9" fontId="0" fillId="0" borderId="0" xfId="0" quotePrefix="1" applyNumberFormat="1" applyFill="1" applyBorder="1" applyAlignment="1">
      <alignment horizontal="center"/>
    </xf>
    <xf numFmtId="0" fontId="12" fillId="0" borderId="0" xfId="0" applyFont="1" applyFill="1" applyBorder="1"/>
    <xf numFmtId="0" fontId="14" fillId="0" borderId="0" xfId="0" applyFont="1" applyFill="1" applyBorder="1" applyAlignment="1">
      <alignment horizontal="left"/>
    </xf>
    <xf numFmtId="0" fontId="52" fillId="0" borderId="0" xfId="0" applyFont="1" applyFill="1" applyBorder="1"/>
    <xf numFmtId="0" fontId="52" fillId="0" borderId="0" xfId="0" applyFont="1" applyFill="1" applyBorder="1" applyAlignment="1">
      <alignment horizontal="center"/>
    </xf>
    <xf numFmtId="0" fontId="75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9" fillId="0" borderId="0" xfId="0" applyFont="1" applyFill="1" applyBorder="1"/>
    <xf numFmtId="0" fontId="69" fillId="0" borderId="0" xfId="0" applyFont="1" applyFill="1" applyBorder="1" applyAlignment="1">
      <alignment vertical="center"/>
    </xf>
    <xf numFmtId="0" fontId="70" fillId="0" borderId="0" xfId="0" applyFont="1" applyFill="1" applyBorder="1" applyAlignment="1">
      <alignment horizontal="center" vertical="center"/>
    </xf>
    <xf numFmtId="0" fontId="69" fillId="0" borderId="0" xfId="0" applyFont="1" applyFill="1" applyBorder="1" applyAlignment="1">
      <alignment horizontal="center" vertical="center"/>
    </xf>
    <xf numFmtId="0" fontId="71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9" fillId="0" borderId="0" xfId="0" applyFont="1" applyFill="1" applyBorder="1" applyAlignment="1"/>
    <xf numFmtId="0" fontId="71" fillId="0" borderId="0" xfId="0" applyFont="1" applyFill="1" applyBorder="1" applyAlignment="1">
      <alignment horizontal="center"/>
    </xf>
    <xf numFmtId="0" fontId="69" fillId="0" borderId="0" xfId="0" applyFont="1" applyFill="1" applyBorder="1" applyAlignment="1">
      <alignment horizontal="center"/>
    </xf>
    <xf numFmtId="0" fontId="70" fillId="0" borderId="0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Continuous"/>
    </xf>
    <xf numFmtId="0" fontId="13" fillId="0" borderId="0" xfId="0" applyFont="1" applyFill="1" applyBorder="1" applyAlignment="1">
      <alignment horizontal="centerContinuous"/>
    </xf>
    <xf numFmtId="0" fontId="26" fillId="0" borderId="0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14" fillId="0" borderId="0" xfId="0" quotePrefix="1" applyFont="1" applyFill="1" applyBorder="1" applyAlignment="1">
      <alignment horizontal="center"/>
    </xf>
    <xf numFmtId="0" fontId="0" fillId="0" borderId="0" xfId="0" quotePrefix="1" applyFill="1" applyBorder="1"/>
    <xf numFmtId="0" fontId="14" fillId="0" borderId="0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49" fillId="0" borderId="0" xfId="0" applyFont="1" applyFill="1" applyBorder="1" applyAlignment="1">
      <alignment horizontal="centerContinuous"/>
    </xf>
    <xf numFmtId="0" fontId="46" fillId="0" borderId="0" xfId="0" applyFont="1" applyFill="1" applyBorder="1" applyAlignment="1">
      <alignment horizontal="centerContinuous"/>
    </xf>
    <xf numFmtId="0" fontId="48" fillId="0" borderId="0" xfId="0" applyFont="1" applyFill="1" applyBorder="1" applyAlignment="1">
      <alignment horizontal="centerContinuous"/>
    </xf>
    <xf numFmtId="0" fontId="54" fillId="0" borderId="0" xfId="0" applyFont="1" applyFill="1" applyBorder="1"/>
    <xf numFmtId="0" fontId="55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76" fillId="2" borderId="0" xfId="0" applyFont="1" applyFill="1" applyBorder="1" applyAlignment="1">
      <alignment horizontal="center" vertical="center"/>
    </xf>
    <xf numFmtId="0" fontId="76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76" fillId="0" borderId="0" xfId="0" applyFont="1" applyFill="1" applyBorder="1" applyAlignment="1">
      <alignment vertical="center"/>
    </xf>
    <xf numFmtId="0" fontId="33" fillId="6" borderId="33" xfId="0" applyFont="1" applyFill="1" applyBorder="1" applyAlignment="1">
      <alignment horizontal="center" vertical="center" wrapText="1"/>
    </xf>
    <xf numFmtId="0" fontId="33" fillId="6" borderId="5" xfId="0" applyFont="1" applyFill="1" applyBorder="1" applyAlignment="1">
      <alignment horizontal="center" vertical="center" wrapText="1"/>
    </xf>
    <xf numFmtId="0" fontId="33" fillId="6" borderId="81" xfId="0" applyFont="1" applyFill="1" applyBorder="1" applyAlignment="1">
      <alignment horizontal="centerContinuous" vertical="center" wrapText="1"/>
    </xf>
    <xf numFmtId="0" fontId="33" fillId="6" borderId="82" xfId="0" applyFont="1" applyFill="1" applyBorder="1" applyAlignment="1">
      <alignment horizontal="centerContinuous" vertical="center" wrapText="1"/>
    </xf>
    <xf numFmtId="0" fontId="33" fillId="6" borderId="83" xfId="0" applyFont="1" applyFill="1" applyBorder="1" applyAlignment="1">
      <alignment horizontal="centerContinuous" vertical="center" wrapText="1"/>
    </xf>
    <xf numFmtId="0" fontId="33" fillId="6" borderId="84" xfId="0" applyFont="1" applyFill="1" applyBorder="1" applyAlignment="1">
      <alignment horizontal="centerContinuous" vertical="center" wrapText="1"/>
    </xf>
    <xf numFmtId="0" fontId="0" fillId="26" borderId="0" xfId="0" applyFill="1"/>
    <xf numFmtId="0" fontId="31" fillId="26" borderId="0" xfId="0" applyFont="1" applyFill="1" applyAlignment="1">
      <alignment horizontal="centerContinuous"/>
    </xf>
    <xf numFmtId="0" fontId="0" fillId="26" borderId="0" xfId="0" applyFill="1" applyAlignment="1">
      <alignment horizontal="centerContinuous"/>
    </xf>
    <xf numFmtId="1" fontId="10" fillId="26" borderId="0" xfId="0" applyNumberFormat="1" applyFont="1" applyFill="1" applyBorder="1"/>
    <xf numFmtId="0" fontId="10" fillId="26" borderId="0" xfId="0" applyFont="1" applyFill="1" applyBorder="1"/>
    <xf numFmtId="0" fontId="0" fillId="0" borderId="0" xfId="0" applyAlignment="1"/>
    <xf numFmtId="0" fontId="11" fillId="7" borderId="86" xfId="0" applyFont="1" applyFill="1" applyBorder="1" applyAlignment="1">
      <alignment horizontal="left"/>
    </xf>
    <xf numFmtId="1" fontId="32" fillId="8" borderId="86" xfId="0" applyNumberFormat="1" applyFont="1" applyFill="1" applyBorder="1" applyAlignment="1"/>
    <xf numFmtId="0" fontId="29" fillId="7" borderId="87" xfId="0" applyFont="1" applyFill="1" applyBorder="1" applyAlignment="1">
      <alignment horizontal="left"/>
    </xf>
    <xf numFmtId="1" fontId="32" fillId="8" borderId="87" xfId="0" applyNumberFormat="1" applyFont="1" applyFill="1" applyBorder="1" applyAlignment="1"/>
    <xf numFmtId="9" fontId="0" fillId="27" borderId="0" xfId="0" applyNumberFormat="1" applyFill="1"/>
    <xf numFmtId="9" fontId="0" fillId="27" borderId="0" xfId="2" applyFont="1" applyFill="1" applyAlignment="1">
      <alignment horizontal="center"/>
    </xf>
    <xf numFmtId="0" fontId="0" fillId="27" borderId="0" xfId="0" applyFill="1"/>
    <xf numFmtId="9" fontId="3" fillId="27" borderId="0" xfId="2" applyFont="1" applyFill="1" applyAlignment="1">
      <alignment horizontal="center"/>
    </xf>
    <xf numFmtId="9" fontId="0" fillId="27" borderId="0" xfId="2" applyFont="1" applyFill="1" applyBorder="1" applyAlignment="1">
      <alignment horizontal="center"/>
    </xf>
    <xf numFmtId="0" fontId="0" fillId="27" borderId="0" xfId="0" applyFill="1" applyBorder="1"/>
    <xf numFmtId="0" fontId="24" fillId="27" borderId="0" xfId="0" applyFont="1" applyFill="1" applyBorder="1" applyAlignment="1">
      <alignment horizontal="center"/>
    </xf>
    <xf numFmtId="0" fontId="22" fillId="27" borderId="0" xfId="0" applyFont="1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9" fontId="0" fillId="27" borderId="0" xfId="0" applyNumberFormat="1" applyFill="1" applyBorder="1"/>
    <xf numFmtId="0" fontId="25" fillId="27" borderId="0" xfId="0" applyFont="1" applyFill="1" applyBorder="1" applyAlignment="1">
      <alignment vertical="center"/>
    </xf>
    <xf numFmtId="0" fontId="23" fillId="27" borderId="0" xfId="0" applyFont="1" applyFill="1" applyBorder="1" applyAlignment="1">
      <alignment vertical="center"/>
    </xf>
    <xf numFmtId="9" fontId="17" fillId="27" borderId="0" xfId="2" applyFont="1" applyFill="1" applyBorder="1" applyAlignment="1">
      <alignment horizontal="center"/>
    </xf>
    <xf numFmtId="0" fontId="17" fillId="27" borderId="0" xfId="0" applyFont="1" applyFill="1" applyBorder="1" applyAlignment="1">
      <alignment horizontal="center"/>
    </xf>
    <xf numFmtId="9" fontId="24" fillId="27" borderId="0" xfId="2" applyFont="1" applyFill="1" applyBorder="1" applyAlignment="1">
      <alignment horizontal="center"/>
    </xf>
    <xf numFmtId="0" fontId="17" fillId="27" borderId="0" xfId="0" applyFont="1" applyFill="1" applyBorder="1"/>
    <xf numFmtId="0" fontId="37" fillId="27" borderId="0" xfId="0" applyFont="1" applyFill="1" applyBorder="1" applyAlignment="1">
      <alignment horizontal="center" vertical="top"/>
    </xf>
    <xf numFmtId="0" fontId="23" fillId="27" borderId="0" xfId="0" applyFont="1" applyFill="1" applyBorder="1" applyAlignment="1">
      <alignment horizontal="center" vertical="center"/>
    </xf>
    <xf numFmtId="0" fontId="21" fillId="27" borderId="0" xfId="0" applyFont="1" applyFill="1" applyBorder="1" applyAlignment="1">
      <alignment horizontal="center" vertical="center"/>
    </xf>
    <xf numFmtId="9" fontId="10" fillId="27" borderId="0" xfId="2" applyFont="1" applyFill="1" applyAlignment="1">
      <alignment horizontal="center"/>
    </xf>
    <xf numFmtId="0" fontId="41" fillId="27" borderId="0" xfId="0" applyFont="1" applyFill="1" applyBorder="1"/>
    <xf numFmtId="0" fontId="10" fillId="27" borderId="0" xfId="0" applyFont="1" applyFill="1"/>
    <xf numFmtId="0" fontId="41" fillId="27" borderId="0" xfId="0" applyFont="1" applyFill="1"/>
    <xf numFmtId="0" fontId="1" fillId="27" borderId="0" xfId="0" applyFont="1" applyFill="1" applyBorder="1"/>
    <xf numFmtId="0" fontId="39" fillId="27" borderId="0" xfId="0" applyFont="1" applyFill="1" applyBorder="1" applyAlignment="1">
      <alignment horizontal="center" vertical="top"/>
    </xf>
    <xf numFmtId="0" fontId="0" fillId="27" borderId="0" xfId="0" applyFill="1" applyAlignment="1">
      <alignment horizontal="center"/>
    </xf>
    <xf numFmtId="0" fontId="1" fillId="27" borderId="0" xfId="0" applyFont="1" applyFill="1" applyBorder="1" applyAlignment="1">
      <alignment horizontal="center"/>
    </xf>
    <xf numFmtId="0" fontId="39" fillId="27" borderId="0" xfId="0" applyFont="1" applyFill="1" applyBorder="1" applyAlignment="1">
      <alignment horizontal="center" vertical="center" wrapText="1"/>
    </xf>
    <xf numFmtId="1" fontId="35" fillId="28" borderId="29" xfId="2" applyNumberFormat="1" applyFont="1" applyFill="1" applyBorder="1" applyAlignment="1">
      <alignment horizontal="center"/>
    </xf>
    <xf numFmtId="1" fontId="37" fillId="28" borderId="29" xfId="2" applyNumberFormat="1" applyFont="1" applyFill="1" applyBorder="1" applyAlignment="1">
      <alignment horizontal="center"/>
    </xf>
    <xf numFmtId="0" fontId="37" fillId="28" borderId="29" xfId="0" applyFont="1" applyFill="1" applyBorder="1" applyAlignment="1">
      <alignment horizontal="center" vertical="top"/>
    </xf>
    <xf numFmtId="0" fontId="38" fillId="28" borderId="30" xfId="0" applyFont="1" applyFill="1" applyBorder="1" applyAlignment="1">
      <alignment horizontal="center" vertical="top"/>
    </xf>
    <xf numFmtId="0" fontId="42" fillId="28" borderId="30" xfId="0" applyFont="1" applyFill="1" applyBorder="1" applyAlignment="1">
      <alignment horizontal="center" vertical="top"/>
    </xf>
    <xf numFmtId="0" fontId="46" fillId="0" borderId="0" xfId="0" applyFont="1" applyFill="1" applyBorder="1" applyAlignment="1">
      <alignment horizontal="center"/>
    </xf>
    <xf numFmtId="166" fontId="32" fillId="8" borderId="26" xfId="0" applyNumberFormat="1" applyFont="1" applyFill="1" applyBorder="1" applyAlignment="1"/>
    <xf numFmtId="166" fontId="32" fillId="8" borderId="38" xfId="0" applyNumberFormat="1" applyFont="1" applyFill="1" applyBorder="1" applyAlignment="1"/>
    <xf numFmtId="9" fontId="38" fillId="28" borderId="30" xfId="2" applyFont="1" applyFill="1" applyBorder="1" applyAlignment="1">
      <alignment horizontal="center"/>
    </xf>
    <xf numFmtId="0" fontId="77" fillId="20" borderId="60" xfId="0" applyFont="1" applyFill="1" applyBorder="1"/>
    <xf numFmtId="0" fontId="77" fillId="20" borderId="61" xfId="0" applyFont="1" applyFill="1" applyBorder="1"/>
    <xf numFmtId="0" fontId="77" fillId="0" borderId="0" xfId="0" applyFont="1"/>
    <xf numFmtId="166" fontId="32" fillId="8" borderId="32" xfId="0" applyNumberFormat="1" applyFont="1" applyFill="1" applyBorder="1" applyAlignment="1"/>
    <xf numFmtId="0" fontId="78" fillId="0" borderId="0" xfId="0" applyFont="1"/>
    <xf numFmtId="0" fontId="75" fillId="13" borderId="0" xfId="0" applyFont="1" applyFill="1" applyBorder="1" applyAlignment="1">
      <alignment horizontal="center"/>
    </xf>
    <xf numFmtId="0" fontId="29" fillId="29" borderId="75" xfId="0" applyFont="1" applyFill="1" applyBorder="1" applyAlignment="1">
      <alignment vertical="top" wrapText="1"/>
    </xf>
    <xf numFmtId="0" fontId="47" fillId="29" borderId="75" xfId="0" applyFont="1" applyFill="1" applyBorder="1" applyAlignment="1">
      <alignment vertical="top" wrapText="1"/>
    </xf>
    <xf numFmtId="0" fontId="47" fillId="29" borderId="75" xfId="0" applyFont="1" applyFill="1" applyBorder="1" applyAlignment="1">
      <alignment wrapText="1"/>
    </xf>
    <xf numFmtId="0" fontId="26" fillId="24" borderId="17" xfId="0" applyFont="1" applyFill="1" applyBorder="1" applyAlignment="1">
      <alignment horizontal="center"/>
    </xf>
    <xf numFmtId="0" fontId="26" fillId="24" borderId="18" xfId="0" applyFont="1" applyFill="1" applyBorder="1" applyAlignment="1">
      <alignment horizontal="center"/>
    </xf>
    <xf numFmtId="0" fontId="40" fillId="2" borderId="0" xfId="0" applyFont="1" applyFill="1" applyAlignment="1">
      <alignment horizontal="center"/>
    </xf>
    <xf numFmtId="0" fontId="79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0" fontId="79" fillId="2" borderId="0" xfId="0" applyFont="1" applyFill="1" applyAlignment="1">
      <alignment horizontal="center"/>
    </xf>
    <xf numFmtId="3" fontId="32" fillId="8" borderId="87" xfId="0" applyNumberFormat="1" applyFont="1" applyFill="1" applyBorder="1" applyAlignment="1"/>
    <xf numFmtId="3" fontId="32" fillId="8" borderId="85" xfId="0" applyNumberFormat="1" applyFont="1" applyFill="1" applyBorder="1" applyAlignment="1"/>
    <xf numFmtId="3" fontId="32" fillId="8" borderId="86" xfId="0" applyNumberFormat="1" applyFont="1" applyFill="1" applyBorder="1" applyAlignment="1"/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3" fillId="0" borderId="0" xfId="0" applyFont="1" applyAlignment="1">
      <alignment vertical="top"/>
    </xf>
    <xf numFmtId="0" fontId="3" fillId="0" borderId="1" xfId="0" applyFont="1" applyBorder="1" applyAlignment="1">
      <alignment vertical="top"/>
    </xf>
    <xf numFmtId="0" fontId="70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3" fontId="32" fillId="8" borderId="15" xfId="0" applyNumberFormat="1" applyFont="1" applyFill="1" applyBorder="1" applyAlignment="1"/>
    <xf numFmtId="3" fontId="32" fillId="8" borderId="15" xfId="0" applyNumberFormat="1" applyFont="1" applyFill="1" applyBorder="1" applyAlignment="1">
      <alignment horizontal="right"/>
    </xf>
    <xf numFmtId="0" fontId="31" fillId="2" borderId="0" xfId="0" applyFont="1" applyFill="1" applyAlignment="1">
      <alignment horizontal="center"/>
    </xf>
    <xf numFmtId="3" fontId="32" fillId="8" borderId="15" xfId="0" applyNumberFormat="1" applyFont="1" applyFill="1" applyBorder="1" applyAlignment="1">
      <alignment horizontal="center"/>
    </xf>
    <xf numFmtId="0" fontId="32" fillId="8" borderId="26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32" fillId="8" borderId="15" xfId="0" applyFont="1" applyFill="1" applyBorder="1" applyAlignment="1">
      <alignment horizontal="center"/>
    </xf>
    <xf numFmtId="0" fontId="32" fillId="8" borderId="15" xfId="0" quotePrefix="1" applyFont="1" applyFill="1" applyBorder="1" applyAlignment="1">
      <alignment horizontal="center"/>
    </xf>
    <xf numFmtId="166" fontId="32" fillId="8" borderId="26" xfId="0" applyNumberFormat="1" applyFont="1" applyFill="1" applyBorder="1" applyAlignment="1">
      <alignment horizontal="center"/>
    </xf>
    <xf numFmtId="0" fontId="32" fillId="8" borderId="36" xfId="0" applyFont="1" applyFill="1" applyBorder="1" applyAlignment="1">
      <alignment horizontal="center"/>
    </xf>
    <xf numFmtId="166" fontId="32" fillId="8" borderId="0" xfId="0" applyNumberFormat="1" applyFont="1" applyFill="1" applyBorder="1" applyAlignment="1">
      <alignment horizontal="center"/>
    </xf>
    <xf numFmtId="1" fontId="32" fillId="8" borderId="26" xfId="0" applyNumberFormat="1" applyFon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32" fillId="8" borderId="16" xfId="0" applyNumberFormat="1" applyFont="1" applyFill="1" applyBorder="1" applyAlignment="1">
      <alignment horizontal="center"/>
    </xf>
    <xf numFmtId="4" fontId="32" fillId="8" borderId="27" xfId="0" applyNumberFormat="1" applyFont="1" applyFill="1" applyBorder="1" applyAlignment="1">
      <alignment horizontal="center"/>
    </xf>
    <xf numFmtId="0" fontId="45" fillId="2" borderId="0" xfId="0" applyFont="1" applyFill="1" applyAlignment="1">
      <alignment horizontal="center"/>
    </xf>
    <xf numFmtId="0" fontId="14" fillId="3" borderId="0" xfId="0" applyFont="1" applyFill="1" applyBorder="1" applyAlignment="1">
      <alignment horizontal="left"/>
    </xf>
    <xf numFmtId="0" fontId="0" fillId="0" borderId="0" xfId="0" applyAlignme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ZA" sz="1200"/>
              <a:t>Play vs Amount Remaining</a:t>
            </a:r>
          </a:p>
        </c:rich>
      </c:tx>
      <c:layout>
        <c:manualLayout>
          <c:xMode val="edge"/>
          <c:yMode val="edge"/>
          <c:x val="0.34537991415333008"/>
          <c:y val="2.53697139821268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6392886234048"/>
          <c:y val="0.13837524085924305"/>
          <c:w val="0.77298501947184395"/>
          <c:h val="0.73936230780820089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Shuffle!$D$1:$D$25</c:f>
              <c:numCache>
                <c:formatCode>General</c:formatCode>
                <c:ptCount val="25"/>
                <c:pt idx="0">
                  <c:v>100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100</c:v>
                </c:pt>
                <c:pt idx="5">
                  <c:v>95</c:v>
                </c:pt>
                <c:pt idx="6">
                  <c:v>90</c:v>
                </c:pt>
                <c:pt idx="7">
                  <c:v>95</c:v>
                </c:pt>
                <c:pt idx="8">
                  <c:v>95</c:v>
                </c:pt>
                <c:pt idx="9">
                  <c:v>90</c:v>
                </c:pt>
                <c:pt idx="1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0-4074-8EC2-13037E7A44CF}"/>
            </c:ext>
          </c:extLst>
        </c:ser>
        <c:ser>
          <c:idx val="1"/>
          <c:order val="1"/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val>
            <c:numRef>
              <c:f>Shuffle!$V$1:$V$25</c:f>
              <c:numCache>
                <c:formatCode>General</c:formatCode>
                <c:ptCount val="2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0-4074-8EC2-13037E7A4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20352"/>
        <c:axId val="52524672"/>
      </c:lineChart>
      <c:catAx>
        <c:axId val="4362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900"/>
                  <a:t>Play</a:t>
                </a:r>
              </a:p>
            </c:rich>
          </c:tx>
          <c:layout>
            <c:manualLayout>
              <c:xMode val="edge"/>
              <c:yMode val="edge"/>
              <c:x val="0.48208469055374592"/>
              <c:y val="0.938718662952646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2524672"/>
        <c:crossesAt val="0"/>
        <c:auto val="0"/>
        <c:lblAlgn val="ctr"/>
        <c:lblOffset val="100"/>
        <c:tickMarkSkip val="5"/>
        <c:noMultiLvlLbl val="0"/>
      </c:catAx>
      <c:valAx>
        <c:axId val="52524672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00"/>
                  <a:t>Amount remaining</a:t>
                </a:r>
              </a:p>
            </c:rich>
          </c:tx>
          <c:layout>
            <c:manualLayout>
              <c:xMode val="edge"/>
              <c:yMode val="edge"/>
              <c:x val="8.1433224755700327E-3"/>
              <c:y val="0.35376044568245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3620352"/>
        <c:crosses val="autoZero"/>
        <c:crossBetween val="midCat"/>
      </c:valAx>
      <c:spPr>
        <a:gradFill flip="none" rotWithShape="1">
          <a:gsLst>
            <a:gs pos="0">
              <a:srgbClr val="FFFF00">
                <a:tint val="66000"/>
                <a:satMod val="160000"/>
              </a:srgbClr>
            </a:gs>
            <a:gs pos="50000">
              <a:srgbClr val="FFFF00">
                <a:tint val="44500"/>
                <a:satMod val="160000"/>
              </a:srgbClr>
            </a:gs>
            <a:gs pos="100000">
              <a:srgbClr val="FFFF00">
                <a:tint val="23500"/>
                <a:satMod val="160000"/>
              </a:srgbClr>
            </a:gs>
          </a:gsLst>
          <a:lin ang="2700000" scaled="1"/>
          <a:tileRect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Display!$L$2</c:f>
          <c:strCache>
            <c:ptCount val="1"/>
            <c:pt idx="0">
              <c:v>Draw Poker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8.6071707056035465E-2"/>
          <c:y val="3.9522288778846254E-2"/>
          <c:w val="0.85479024496937872"/>
          <c:h val="0.624852749509788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Lbl>
              <c:idx val="6"/>
              <c:layout>
                <c:manualLayout>
                  <c:x val="-1.294498381877032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4E-4FBC-BFEF-03AD8727F0D1}"/>
                </c:ext>
              </c:extLst>
            </c:dLbl>
            <c:dLbl>
              <c:idx val="7"/>
              <c:layout>
                <c:manualLayout>
                  <c:x val="-1.0355987055016181E-2"/>
                  <c:y val="1.78173677715148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4E-4FBC-BFEF-03AD8727F0D1}"/>
                </c:ext>
              </c:extLst>
            </c:dLbl>
            <c:dLbl>
              <c:idx val="8"/>
              <c:layout>
                <c:manualLayout>
                  <c:x val="-2.3301174731799303E-2"/>
                  <c:y val="1.1878245181009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4E-4FBC-BFEF-03AD8727F0D1}"/>
                </c:ext>
              </c:extLst>
            </c:dLbl>
            <c:dLbl>
              <c:idx val="9"/>
              <c:layout>
                <c:manualLayout>
                  <c:x val="-3.1067961165048542E-2"/>
                  <c:y val="2.96956129525248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4E-4FBC-BFEF-03AD8727F0D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Analysis!$G$31:$G$40</c:f>
              <c:strCache>
                <c:ptCount val="10"/>
                <c:pt idx="0">
                  <c:v>Royal Flush</c:v>
                </c:pt>
                <c:pt idx="1">
                  <c:v>Straight Flush</c:v>
                </c:pt>
                <c:pt idx="2">
                  <c:v>4 Of A Kind</c:v>
                </c:pt>
                <c:pt idx="3">
                  <c:v>Full House</c:v>
                </c:pt>
                <c:pt idx="4">
                  <c:v>Flush</c:v>
                </c:pt>
                <c:pt idx="5">
                  <c:v>Straight</c:v>
                </c:pt>
                <c:pt idx="6">
                  <c:v>3 Of A Kind</c:v>
                </c:pt>
                <c:pt idx="7">
                  <c:v>2 Pairs</c:v>
                </c:pt>
                <c:pt idx="8">
                  <c:v>Jacks Or Better</c:v>
                </c:pt>
                <c:pt idx="9">
                  <c:v>Nothing</c:v>
                </c:pt>
              </c:strCache>
            </c:strRef>
          </c:cat>
          <c:val>
            <c:numRef>
              <c:f>Analysis!$H$31:$H$40</c:f>
              <c:numCache>
                <c:formatCode>0.0</c:formatCode>
                <c:ptCount val="10"/>
                <c:pt idx="0">
                  <c:v>2.4758603614756129E-4</c:v>
                </c:pt>
                <c:pt idx="1">
                  <c:v>1.0930992643441951E-3</c:v>
                </c:pt>
                <c:pt idx="2">
                  <c:v>2.3625581779951332E-2</c:v>
                </c:pt>
                <c:pt idx="3">
                  <c:v>0.11512249032971081</c:v>
                </c:pt>
                <c:pt idx="4">
                  <c:v>0.11014550220841732</c:v>
                </c:pt>
                <c:pt idx="5">
                  <c:v>0.11229394061896419</c:v>
                </c:pt>
                <c:pt idx="6">
                  <c:v>0.74449076831447292</c:v>
                </c:pt>
                <c:pt idx="7">
                  <c:v>1.2927913951804737</c:v>
                </c:pt>
                <c:pt idx="8">
                  <c:v>2.1458306510450198</c:v>
                </c:pt>
                <c:pt idx="9">
                  <c:v>5.4543471146503766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4E-4FBC-BFEF-03AD8727F0D1}"/>
            </c:ext>
          </c:extLst>
        </c:ser>
        <c:ser>
          <c:idx val="1"/>
          <c:order val="1"/>
          <c:invertIfNegative val="0"/>
          <c:dLbls>
            <c:dLbl>
              <c:idx val="3"/>
              <c:layout>
                <c:manualLayout>
                  <c:x val="7.766990291262183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4E-4FBC-BFEF-03AD8727F0D1}"/>
                </c:ext>
              </c:extLst>
            </c:dLbl>
            <c:dLbl>
              <c:idx val="4"/>
              <c:layout>
                <c:manualLayout>
                  <c:x val="7.7669902912621356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4E-4FBC-BFEF-03AD8727F0D1}"/>
                </c:ext>
              </c:extLst>
            </c:dLbl>
            <c:dLbl>
              <c:idx val="5"/>
              <c:layout>
                <c:manualLayout>
                  <c:x val="7.7669902912621356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4E-4FBC-BFEF-03AD8727F0D1}"/>
                </c:ext>
              </c:extLst>
            </c:dLbl>
            <c:dLbl>
              <c:idx val="6"/>
              <c:layout>
                <c:manualLayout>
                  <c:x val="5.1779935275080907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4E-4FBC-BFEF-03AD8727F0D1}"/>
                </c:ext>
              </c:extLst>
            </c:dLbl>
            <c:dLbl>
              <c:idx val="7"/>
              <c:layout>
                <c:manualLayout>
                  <c:x val="1.294498381877013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4E-4FBC-BFEF-03AD8727F0D1}"/>
                </c:ext>
              </c:extLst>
            </c:dLbl>
            <c:dLbl>
              <c:idx val="8"/>
              <c:layout>
                <c:manualLayout>
                  <c:x val="1.294498381877013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4E-4FBC-BFEF-03AD8727F0D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Analysis!$G$31:$G$40</c:f>
              <c:strCache>
                <c:ptCount val="10"/>
                <c:pt idx="0">
                  <c:v>Royal Flush</c:v>
                </c:pt>
                <c:pt idx="1">
                  <c:v>Straight Flush</c:v>
                </c:pt>
                <c:pt idx="2">
                  <c:v>4 Of A Kind</c:v>
                </c:pt>
                <c:pt idx="3">
                  <c:v>Full House</c:v>
                </c:pt>
                <c:pt idx="4">
                  <c:v>Flush</c:v>
                </c:pt>
                <c:pt idx="5">
                  <c:v>Straight</c:v>
                </c:pt>
                <c:pt idx="6">
                  <c:v>3 Of A Kind</c:v>
                </c:pt>
                <c:pt idx="7">
                  <c:v>2 Pairs</c:v>
                </c:pt>
                <c:pt idx="8">
                  <c:v>Jacks Or Better</c:v>
                </c:pt>
                <c:pt idx="9">
                  <c:v>Nothing</c:v>
                </c:pt>
              </c:strCache>
            </c:strRef>
          </c:cat>
          <c:val>
            <c:numRef>
              <c:f>Analysis!$I$31:$I$40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4E-4FBC-BFEF-03AD8727F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93856"/>
        <c:axId val="52526400"/>
      </c:barChart>
      <c:catAx>
        <c:axId val="52793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620000"/>
          <a:lstStyle/>
          <a:p>
            <a:pPr>
              <a:defRPr/>
            </a:pPr>
            <a:endParaRPr lang="en-US"/>
          </a:p>
        </c:txPr>
        <c:crossAx val="52526400"/>
        <c:crosses val="autoZero"/>
        <c:auto val="1"/>
        <c:lblAlgn val="ctr"/>
        <c:lblOffset val="100"/>
        <c:noMultiLvlLbl val="0"/>
      </c:catAx>
      <c:valAx>
        <c:axId val="5252640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52793856"/>
        <c:crosses val="autoZero"/>
        <c:crossBetween val="between"/>
      </c:valAx>
      <c:spPr>
        <a:gradFill flip="none" rotWithShape="1">
          <a:gsLst>
            <a:gs pos="0">
              <a:srgbClr val="0070C0">
                <a:tint val="66000"/>
                <a:satMod val="160000"/>
              </a:srgbClr>
            </a:gs>
            <a:gs pos="50000">
              <a:srgbClr val="0070C0">
                <a:tint val="44500"/>
                <a:satMod val="160000"/>
              </a:srgbClr>
            </a:gs>
            <a:gs pos="100000">
              <a:srgbClr val="0070C0">
                <a:tint val="23500"/>
                <a:satMod val="160000"/>
              </a:srgbClr>
            </a:gs>
          </a:gsLst>
          <a:lin ang="2700000" scaled="1"/>
          <a:tileRect/>
        </a:gradFill>
      </c:spPr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22725284339458"/>
          <c:y val="4.6422231038052549E-2"/>
          <c:w val="0.76509230096237968"/>
          <c:h val="0.73443420297387985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4160-4AA4-82AC-37B970DD272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Analysis!$H$29:$I$30</c:f>
              <c:multiLvlStrCache>
                <c:ptCount val="2"/>
                <c:lvl>
                  <c:pt idx="0">
                    <c:v>Expected</c:v>
                  </c:pt>
                  <c:pt idx="1">
                    <c:v>Actual</c:v>
                  </c:pt>
                </c:lvl>
                <c:lvl>
                  <c:pt idx="0">
                    <c:v>Hands Won</c:v>
                  </c:pt>
                </c:lvl>
              </c:multiLvlStrCache>
            </c:multiLvlStrRef>
          </c:cat>
          <c:val>
            <c:numRef>
              <c:f>Analysis!$H$42:$I$42</c:f>
              <c:numCache>
                <c:formatCode>0</c:formatCode>
                <c:ptCount val="2"/>
                <c:pt idx="0">
                  <c:v>4.5456410147775017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0-4AA4-82AC-37B970DD2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52795392"/>
        <c:axId val="58901632"/>
      </c:barChart>
      <c:catAx>
        <c:axId val="527953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58901632"/>
        <c:crosses val="autoZero"/>
        <c:auto val="1"/>
        <c:lblAlgn val="ctr"/>
        <c:lblOffset val="100"/>
        <c:noMultiLvlLbl val="0"/>
      </c:catAx>
      <c:valAx>
        <c:axId val="58901632"/>
        <c:scaling>
          <c:orientation val="minMax"/>
          <c:min val="1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52795392"/>
        <c:crosses val="autoZero"/>
        <c:crossBetween val="between"/>
      </c:valAx>
      <c:spPr>
        <a:gradFill flip="none" rotWithShape="1">
          <a:gsLst>
            <a:gs pos="0">
              <a:srgbClr val="0070C0">
                <a:tint val="66000"/>
                <a:satMod val="160000"/>
              </a:srgbClr>
            </a:gs>
            <a:gs pos="50000">
              <a:srgbClr val="0070C0">
                <a:tint val="44500"/>
                <a:satMod val="160000"/>
              </a:srgbClr>
            </a:gs>
            <a:gs pos="100000">
              <a:srgbClr val="0070C0">
                <a:tint val="23500"/>
                <a:satMod val="160000"/>
              </a:srgbClr>
            </a:gs>
          </a:gsLst>
          <a:lin ang="2700000" scaled="1"/>
          <a:tileRect/>
        </a:gradFill>
      </c:spPr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ZA" sz="1100"/>
              <a:t>Payout</a:t>
            </a:r>
            <a:r>
              <a:rPr lang="en-ZA" sz="1100" baseline="0"/>
              <a:t> vs Expected</a:t>
            </a:r>
            <a:endParaRPr lang="en-ZA" sz="1100"/>
          </a:p>
        </c:rich>
      </c:tx>
      <c:layout>
        <c:manualLayout>
          <c:xMode val="edge"/>
          <c:yMode val="edge"/>
          <c:x val="0.40673109904583227"/>
          <c:y val="3.34261193475967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74396536747755"/>
          <c:y val="0.11420612813370473"/>
          <c:w val="0.80203148519478551"/>
          <c:h val="0.755475019776235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Shuffle!$G$1:$G$50</c:f>
              <c:numCache>
                <c:formatCode>0%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0.8</c:v>
                </c:pt>
                <c:pt idx="6">
                  <c:v>0.66659999999999997</c:v>
                </c:pt>
                <c:pt idx="7">
                  <c:v>0.85709999999999997</c:v>
                </c:pt>
                <c:pt idx="8">
                  <c:v>0.875</c:v>
                </c:pt>
                <c:pt idx="9">
                  <c:v>0.77769999999999995</c:v>
                </c:pt>
                <c:pt idx="10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C1-4BC6-B094-3D4847750EEC}"/>
            </c:ext>
          </c:extLst>
        </c:ser>
        <c:ser>
          <c:idx val="1"/>
          <c:order val="1"/>
          <c:spPr>
            <a:ln w="28575">
              <a:solidFill>
                <a:srgbClr val="0070C0"/>
              </a:solidFill>
              <a:prstDash val="sysDash"/>
            </a:ln>
          </c:spPr>
          <c:marker>
            <c:symbol val="none"/>
          </c:marker>
          <c:val>
            <c:numRef>
              <c:f>Shuffle!$U$1:$U$50</c:f>
              <c:numCache>
                <c:formatCode>0%</c:formatCode>
                <c:ptCount val="50"/>
                <c:pt idx="1">
                  <c:v>0.99540000000000006</c:v>
                </c:pt>
                <c:pt idx="2">
                  <c:v>0.99540000000000006</c:v>
                </c:pt>
                <c:pt idx="3">
                  <c:v>0.99540000000000006</c:v>
                </c:pt>
                <c:pt idx="4">
                  <c:v>0.99540000000000006</c:v>
                </c:pt>
                <c:pt idx="5">
                  <c:v>0.99540000000000006</c:v>
                </c:pt>
                <c:pt idx="6">
                  <c:v>0.99540000000000006</c:v>
                </c:pt>
                <c:pt idx="7">
                  <c:v>0.99540000000000006</c:v>
                </c:pt>
                <c:pt idx="8">
                  <c:v>0.99540000000000006</c:v>
                </c:pt>
                <c:pt idx="9">
                  <c:v>0.99540000000000006</c:v>
                </c:pt>
                <c:pt idx="10">
                  <c:v>0.99540000000000006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C1-4BC6-B094-3D4847750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5904"/>
        <c:axId val="58903360"/>
      </c:lineChart>
      <c:catAx>
        <c:axId val="52795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900"/>
                  <a:t>Play</a:t>
                </a:r>
              </a:p>
            </c:rich>
          </c:tx>
          <c:layout>
            <c:manualLayout>
              <c:xMode val="edge"/>
              <c:yMode val="edge"/>
              <c:x val="0.48208469055374592"/>
              <c:y val="0.938718662952646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03360"/>
        <c:crossesAt val="0"/>
        <c:auto val="0"/>
        <c:lblAlgn val="ctr"/>
        <c:lblOffset val="100"/>
        <c:tickMarkSkip val="5"/>
        <c:noMultiLvlLbl val="0"/>
      </c:catAx>
      <c:valAx>
        <c:axId val="5890336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00"/>
                  <a:t>Payout</a:t>
                </a:r>
                <a:r>
                  <a:rPr lang="en-ZA" sz="1100" baseline="0"/>
                  <a:t> %</a:t>
                </a:r>
                <a:r>
                  <a:rPr lang="en-ZA" sz="1100"/>
                  <a:t> </a:t>
                </a:r>
              </a:p>
            </c:rich>
          </c:tx>
          <c:layout>
            <c:manualLayout>
              <c:xMode val="edge"/>
              <c:yMode val="edge"/>
              <c:x val="8.1433224755700327E-3"/>
              <c:y val="0.3537604456824512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2795904"/>
        <c:crosses val="autoZero"/>
        <c:crossBetween val="midCat"/>
      </c:valAx>
      <c:spPr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50000">
              <a:srgbClr val="92D050">
                <a:tint val="445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2700000" scaled="1"/>
          <a:tileRect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22725284339458"/>
          <c:y val="4.6422231038052549E-2"/>
          <c:w val="0.76509230096237968"/>
          <c:h val="0.73443420297387985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D28C-46C8-90F7-68AAF6F2872C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Analysis!$K$29:$L$30</c:f>
              <c:multiLvlStrCache>
                <c:ptCount val="2"/>
                <c:lvl>
                  <c:pt idx="0">
                    <c:v>Expected</c:v>
                  </c:pt>
                  <c:pt idx="1">
                    <c:v>Actual</c:v>
                  </c:pt>
                </c:lvl>
                <c:lvl>
                  <c:pt idx="0">
                    <c:v>Amount Won</c:v>
                  </c:pt>
                </c:lvl>
              </c:multiLvlStrCache>
            </c:multiLvlStrRef>
          </c:cat>
          <c:val>
            <c:numRef>
              <c:f>Analysis!$K$42:$L$42</c:f>
              <c:numCache>
                <c:formatCode>#,##0</c:formatCode>
                <c:ptCount val="2"/>
                <c:pt idx="0">
                  <c:v>34.824428731746934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8C-46C8-90F7-68AAF6F28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73280000"/>
        <c:axId val="58905664"/>
      </c:barChart>
      <c:catAx>
        <c:axId val="732800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58905664"/>
        <c:crosses val="autoZero"/>
        <c:auto val="1"/>
        <c:lblAlgn val="ctr"/>
        <c:lblOffset val="100"/>
        <c:noMultiLvlLbl val="0"/>
      </c:catAx>
      <c:valAx>
        <c:axId val="58905664"/>
        <c:scaling>
          <c:orientation val="minMax"/>
          <c:min val="1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73280000"/>
        <c:crosses val="autoZero"/>
        <c:crossBetween val="between"/>
      </c:valAx>
      <c:spPr>
        <a:gradFill flip="none" rotWithShape="1">
          <a:gsLst>
            <a:gs pos="0">
              <a:srgbClr val="0070C0">
                <a:tint val="66000"/>
                <a:satMod val="160000"/>
              </a:srgbClr>
            </a:gs>
            <a:gs pos="50000">
              <a:srgbClr val="0070C0">
                <a:tint val="44500"/>
                <a:satMod val="160000"/>
              </a:srgbClr>
            </a:gs>
            <a:gs pos="100000">
              <a:srgbClr val="0070C0">
                <a:tint val="23500"/>
                <a:satMod val="160000"/>
              </a:srgbClr>
            </a:gs>
          </a:gsLst>
          <a:lin ang="2700000" scaled="1"/>
          <a:tileRect/>
        </a:gradFill>
      </c:spPr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ZA"/>
              <a:t>Deck View</a:t>
            </a:r>
          </a:p>
        </c:rich>
      </c:tx>
      <c:layout>
        <c:manualLayout>
          <c:xMode val="edge"/>
          <c:yMode val="edge"/>
          <c:x val="0.85524372230428358"/>
          <c:y val="6.6844919786096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175775480059084E-2"/>
          <c:y val="5.6149732620320858E-2"/>
          <c:w val="0.7784342688330872"/>
          <c:h val="0.86541889483065959"/>
        </c:manualLayout>
      </c:layout>
      <c:scatterChart>
        <c:scatterStyle val="lineMarker"/>
        <c:varyColors val="0"/>
        <c:ser>
          <c:idx val="0"/>
          <c:order val="0"/>
          <c:tx>
            <c:v>Spades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yVal>
            <c:numRef>
              <c:f>Shuffle!$AK$1:$AK$53</c:f>
              <c:numCache>
                <c:formatCode>General</c:formatCode>
                <c:ptCount val="53"/>
                <c:pt idx="5">
                  <c:v>10</c:v>
                </c:pt>
                <c:pt idx="6">
                  <c:v>4</c:v>
                </c:pt>
                <c:pt idx="11">
                  <c:v>7</c:v>
                </c:pt>
                <c:pt idx="14">
                  <c:v>9</c:v>
                </c:pt>
                <c:pt idx="18">
                  <c:v>3</c:v>
                </c:pt>
                <c:pt idx="22">
                  <c:v>12</c:v>
                </c:pt>
                <c:pt idx="24">
                  <c:v>13</c:v>
                </c:pt>
                <c:pt idx="25">
                  <c:v>6</c:v>
                </c:pt>
                <c:pt idx="30">
                  <c:v>2</c:v>
                </c:pt>
                <c:pt idx="38">
                  <c:v>5</c:v>
                </c:pt>
                <c:pt idx="44">
                  <c:v>1</c:v>
                </c:pt>
                <c:pt idx="46">
                  <c:v>8</c:v>
                </c:pt>
                <c:pt idx="47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16-4C3C-B595-31B2667DD1FD}"/>
            </c:ext>
          </c:extLst>
        </c:ser>
        <c:ser>
          <c:idx val="1"/>
          <c:order val="1"/>
          <c:tx>
            <c:v>Diamonds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yVal>
            <c:numRef>
              <c:f>Shuffle!$AL$1:$AL$53</c:f>
              <c:numCache>
                <c:formatCode>General</c:formatCode>
                <c:ptCount val="53"/>
                <c:pt idx="12">
                  <c:v>7</c:v>
                </c:pt>
                <c:pt idx="13">
                  <c:v>5</c:v>
                </c:pt>
                <c:pt idx="21">
                  <c:v>10</c:v>
                </c:pt>
                <c:pt idx="23">
                  <c:v>4</c:v>
                </c:pt>
                <c:pt idx="29">
                  <c:v>11</c:v>
                </c:pt>
                <c:pt idx="31">
                  <c:v>9</c:v>
                </c:pt>
                <c:pt idx="32">
                  <c:v>8</c:v>
                </c:pt>
                <c:pt idx="35">
                  <c:v>12</c:v>
                </c:pt>
                <c:pt idx="36">
                  <c:v>3</c:v>
                </c:pt>
                <c:pt idx="41">
                  <c:v>2</c:v>
                </c:pt>
                <c:pt idx="42">
                  <c:v>6</c:v>
                </c:pt>
                <c:pt idx="43">
                  <c:v>13</c:v>
                </c:pt>
                <c:pt idx="5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16-4C3C-B595-31B2667DD1FD}"/>
            </c:ext>
          </c:extLst>
        </c:ser>
        <c:ser>
          <c:idx val="2"/>
          <c:order val="2"/>
          <c:tx>
            <c:v>Hearts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yVal>
            <c:numRef>
              <c:f>Shuffle!$AM$1:$AM$53</c:f>
              <c:numCache>
                <c:formatCode>General</c:formatCode>
                <c:ptCount val="53"/>
                <c:pt idx="2">
                  <c:v>8</c:v>
                </c:pt>
                <c:pt idx="3">
                  <c:v>4</c:v>
                </c:pt>
                <c:pt idx="4">
                  <c:v>9</c:v>
                </c:pt>
                <c:pt idx="7">
                  <c:v>6</c:v>
                </c:pt>
                <c:pt idx="8">
                  <c:v>13</c:v>
                </c:pt>
                <c:pt idx="10">
                  <c:v>10</c:v>
                </c:pt>
                <c:pt idx="17">
                  <c:v>11</c:v>
                </c:pt>
                <c:pt idx="26">
                  <c:v>2</c:v>
                </c:pt>
                <c:pt idx="27">
                  <c:v>12</c:v>
                </c:pt>
                <c:pt idx="28">
                  <c:v>7</c:v>
                </c:pt>
                <c:pt idx="37">
                  <c:v>3</c:v>
                </c:pt>
                <c:pt idx="40">
                  <c:v>1</c:v>
                </c:pt>
                <c:pt idx="4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16-4C3C-B595-31B2667DD1FD}"/>
            </c:ext>
          </c:extLst>
        </c:ser>
        <c:ser>
          <c:idx val="3"/>
          <c:order val="3"/>
          <c:tx>
            <c:v>Clubs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yVal>
            <c:numRef>
              <c:f>Shuffle!$AN$1:$AN$53</c:f>
              <c:numCache>
                <c:formatCode>General</c:formatCode>
                <c:ptCount val="53"/>
                <c:pt idx="0">
                  <c:v>10</c:v>
                </c:pt>
                <c:pt idx="1">
                  <c:v>2</c:v>
                </c:pt>
                <c:pt idx="9">
                  <c:v>13</c:v>
                </c:pt>
                <c:pt idx="15">
                  <c:v>6</c:v>
                </c:pt>
                <c:pt idx="16">
                  <c:v>8</c:v>
                </c:pt>
                <c:pt idx="19">
                  <c:v>11</c:v>
                </c:pt>
                <c:pt idx="20">
                  <c:v>7</c:v>
                </c:pt>
                <c:pt idx="33">
                  <c:v>3</c:v>
                </c:pt>
                <c:pt idx="34">
                  <c:v>9</c:v>
                </c:pt>
                <c:pt idx="39">
                  <c:v>4</c:v>
                </c:pt>
                <c:pt idx="48">
                  <c:v>5</c:v>
                </c:pt>
                <c:pt idx="49">
                  <c:v>12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16-4C3C-B595-31B2667DD1FD}"/>
            </c:ext>
          </c:extLst>
        </c:ser>
        <c:ser>
          <c:idx val="4"/>
          <c:order val="4"/>
          <c:tx>
            <c:v>Joker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strLit>
              <c:ptCount val="1"/>
              <c:pt idx="0">
                <c:v>Joker</c:v>
              </c:pt>
            </c:strLit>
          </c:xVal>
          <c:yVal>
            <c:numRef>
              <c:f>Shuffle!$AO$1:$AO$53</c:f>
              <c:numCache>
                <c:formatCode>General</c:formatCode>
                <c:ptCount val="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16-4C3C-B595-31B2667DD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07968"/>
        <c:axId val="52374336"/>
      </c:scatterChart>
      <c:valAx>
        <c:axId val="5890796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2374336"/>
        <c:crosses val="autoZero"/>
        <c:crossBetween val="midCat"/>
        <c:majorUnit val="1"/>
      </c:valAx>
      <c:valAx>
        <c:axId val="52374336"/>
        <c:scaling>
          <c:orientation val="minMax"/>
          <c:max val="1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8907968"/>
        <c:crosses val="autoZero"/>
        <c:crossBetween val="midCat"/>
        <c:majorUnit val="1"/>
        <c:minorUnit val="1"/>
      </c:valAx>
      <c:spPr>
        <a:solidFill>
          <a:srgbClr val="C0C0C0"/>
        </a:solidFill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</c:legendEntry>
      <c:layout>
        <c:manualLayout>
          <c:xMode val="edge"/>
          <c:yMode val="edge"/>
          <c:x val="0.84588872476612509"/>
          <c:y val="0.33600713012477718"/>
          <c:w val="9.8473658296405711E-2"/>
          <c:h val="0.32500199703297955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checked="Checked" firstButton="1" fmlaLink="$AJ$8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16" fmlaLink="$AJ$7" fmlaRange="'Deck Data'!$L$3:$L$9" sel="1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Style="combo" dx="16" fmlaLink="$AJ$9" fmlaRange="'Deck Data'!$Q$2:$Q$15" noThreeD="1" sel="1" val="0"/>
</file>

<file path=xl/ctrlProps/ctrlProp19.xml><?xml version="1.0" encoding="utf-8"?>
<formControlPr xmlns="http://schemas.microsoft.com/office/spreadsheetml/2009/9/main" objectType="CheckBox" fmlaLink="$AJ$10" lockText="1" noThreeD="1"/>
</file>

<file path=xl/ctrlProps/ctrlProp20.xml><?xml version="1.0" encoding="utf-8"?>
<formControlPr xmlns="http://schemas.microsoft.com/office/spreadsheetml/2009/9/main" objectType="CheckBox" checked="Checked" fmlaLink="$AJ$12" lockText="1" noThreeD="1"/>
</file>

<file path=xl/ctrlProps/ctrlProp21.xml><?xml version="1.0" encoding="utf-8"?>
<formControlPr xmlns="http://schemas.microsoft.com/office/spreadsheetml/2009/9/main" objectType="CheckBox" fmlaLink="$AJ$1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fmlaLink="$AJ$6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$AJ$11" lockText="1" noThreeD="1"/>
</file>

<file path=xl/ctrlProps/ctrlProp32.xml><?xml version="1.0" encoding="utf-8"?>
<formControlPr xmlns="http://schemas.microsoft.com/office/spreadsheetml/2009/9/main" objectType="Spin" dx="15" inc="25" max="30000" min="25" page="10" val="25"/>
</file>

<file path=xl/ctrlProps/ctrlProp33.xml><?xml version="1.0" encoding="utf-8"?>
<formControlPr xmlns="http://schemas.microsoft.com/office/spreadsheetml/2009/9/main" objectType="Spin" dx="20" inc="25" max="3000" page="10" val="0"/>
</file>

<file path=xl/ctrlProps/ctrlProp34.xml><?xml version="1.0" encoding="utf-8"?>
<formControlPr xmlns="http://schemas.microsoft.com/office/spreadsheetml/2009/9/main" objectType="Spin" dx="20" inc="25" max="3000" page="10" val="25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8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19.emf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1604</xdr:colOff>
      <xdr:row>12</xdr:row>
      <xdr:rowOff>169751</xdr:rowOff>
    </xdr:from>
    <xdr:to>
      <xdr:col>7</xdr:col>
      <xdr:colOff>2475</xdr:colOff>
      <xdr:row>21</xdr:row>
      <xdr:rowOff>188175</xdr:rowOff>
    </xdr:to>
    <xdr:sp macro="[0]!bbut1" textlink="">
      <xdr:nvSpPr>
        <xdr:cNvPr id="65725" name="Rectangle 64701">
          <a:extLst>
            <a:ext uri="{FF2B5EF4-FFF2-40B4-BE49-F238E27FC236}">
              <a16:creationId xmlns:a16="http://schemas.microsoft.com/office/drawing/2014/main" id="{00000000-0008-0000-0100-0000BD000100}"/>
            </a:ext>
          </a:extLst>
        </xdr:cNvPr>
        <xdr:cNvSpPr>
          <a:spLocks noChangeArrowheads="1"/>
        </xdr:cNvSpPr>
      </xdr:nvSpPr>
      <xdr:spPr bwMode="auto">
        <a:xfrm>
          <a:off x="209079" y="2084182"/>
          <a:ext cx="1066540" cy="1499043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 editAs="absolute">
    <xdr:from>
      <xdr:col>7</xdr:col>
      <xdr:colOff>75444</xdr:colOff>
      <xdr:row>12</xdr:row>
      <xdr:rowOff>169751</xdr:rowOff>
    </xdr:from>
    <xdr:to>
      <xdr:col>13</xdr:col>
      <xdr:colOff>4300</xdr:colOff>
      <xdr:row>21</xdr:row>
      <xdr:rowOff>188175</xdr:rowOff>
    </xdr:to>
    <xdr:sp macro="[0]!bbut2" textlink="">
      <xdr:nvSpPr>
        <xdr:cNvPr id="60" name="Rectangle 64704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Arrowheads="1"/>
        </xdr:cNvSpPr>
      </xdr:nvSpPr>
      <xdr:spPr bwMode="auto">
        <a:xfrm>
          <a:off x="1348588" y="2084182"/>
          <a:ext cx="1069969" cy="1499043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 editAs="absolute">
    <xdr:from>
      <xdr:col>25</xdr:col>
      <xdr:colOff>69272</xdr:colOff>
      <xdr:row>12</xdr:row>
      <xdr:rowOff>169751</xdr:rowOff>
    </xdr:from>
    <xdr:to>
      <xdr:col>30</xdr:col>
      <xdr:colOff>231408</xdr:colOff>
      <xdr:row>21</xdr:row>
      <xdr:rowOff>182683</xdr:rowOff>
    </xdr:to>
    <xdr:sp macro="[0]!bbut5" textlink="">
      <xdr:nvSpPr>
        <xdr:cNvPr id="65726" name="Rectangle 64702">
          <a:extLst>
            <a:ext uri="{FF2B5EF4-FFF2-40B4-BE49-F238E27FC236}">
              <a16:creationId xmlns:a16="http://schemas.microsoft.com/office/drawing/2014/main" id="{00000000-0008-0000-0100-0000BE000100}"/>
            </a:ext>
          </a:extLst>
        </xdr:cNvPr>
        <xdr:cNvSpPr>
          <a:spLocks noChangeArrowheads="1"/>
        </xdr:cNvSpPr>
      </xdr:nvSpPr>
      <xdr:spPr bwMode="auto">
        <a:xfrm>
          <a:off x="4765757" y="2084182"/>
          <a:ext cx="1067483" cy="149355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 editAs="absolute">
    <xdr:from>
      <xdr:col>20</xdr:col>
      <xdr:colOff>9431</xdr:colOff>
      <xdr:row>12</xdr:row>
      <xdr:rowOff>169751</xdr:rowOff>
    </xdr:from>
    <xdr:to>
      <xdr:col>25</xdr:col>
      <xdr:colOff>13106</xdr:colOff>
      <xdr:row>21</xdr:row>
      <xdr:rowOff>186232</xdr:rowOff>
    </xdr:to>
    <xdr:sp macro="[0]!bbut4" textlink="">
      <xdr:nvSpPr>
        <xdr:cNvPr id="65727" name="Rectangle 64703">
          <a:extLst>
            <a:ext uri="{FF2B5EF4-FFF2-40B4-BE49-F238E27FC236}">
              <a16:creationId xmlns:a16="http://schemas.microsoft.com/office/drawing/2014/main" id="{00000000-0008-0000-0100-0000BF000100}"/>
            </a:ext>
          </a:extLst>
        </xdr:cNvPr>
        <xdr:cNvSpPr>
          <a:spLocks noChangeArrowheads="1"/>
        </xdr:cNvSpPr>
      </xdr:nvSpPr>
      <xdr:spPr bwMode="auto">
        <a:xfrm>
          <a:off x="3640248" y="2084182"/>
          <a:ext cx="1069343" cy="14971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 editAs="absolute">
    <xdr:from>
      <xdr:col>14</xdr:col>
      <xdr:colOff>10092</xdr:colOff>
      <xdr:row>12</xdr:row>
      <xdr:rowOff>169751</xdr:rowOff>
    </xdr:from>
    <xdr:to>
      <xdr:col>19</xdr:col>
      <xdr:colOff>11907</xdr:colOff>
      <xdr:row>21</xdr:row>
      <xdr:rowOff>188175</xdr:rowOff>
    </xdr:to>
    <xdr:sp macro="[0]!bbut3" textlink="">
      <xdr:nvSpPr>
        <xdr:cNvPr id="65728" name="Rectangle 64704">
          <a:extLst>
            <a:ext uri="{FF2B5EF4-FFF2-40B4-BE49-F238E27FC236}">
              <a16:creationId xmlns:a16="http://schemas.microsoft.com/office/drawing/2014/main" id="{00000000-0008-0000-0100-0000C0000100}"/>
            </a:ext>
          </a:extLst>
        </xdr:cNvPr>
        <xdr:cNvSpPr>
          <a:spLocks noChangeArrowheads="1"/>
        </xdr:cNvSpPr>
      </xdr:nvSpPr>
      <xdr:spPr bwMode="auto">
        <a:xfrm>
          <a:off x="2499795" y="2084182"/>
          <a:ext cx="1067483" cy="1499043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31</xdr:col>
      <xdr:colOff>38100</xdr:colOff>
      <xdr:row>9</xdr:row>
      <xdr:rowOff>9525</xdr:rowOff>
    </xdr:from>
    <xdr:to>
      <xdr:col>34</xdr:col>
      <xdr:colOff>152400</xdr:colOff>
      <xdr:row>10</xdr:row>
      <xdr:rowOff>76200</xdr:rowOff>
    </xdr:to>
    <xdr:sp macro="" textlink="">
      <xdr:nvSpPr>
        <xdr:cNvPr id="65730" name="Rectangle 64706">
          <a:extLst>
            <a:ext uri="{FF2B5EF4-FFF2-40B4-BE49-F238E27FC236}">
              <a16:creationId xmlns:a16="http://schemas.microsoft.com/office/drawing/2014/main" id="{00000000-0008-0000-0100-0000C2000100}"/>
            </a:ext>
          </a:extLst>
        </xdr:cNvPr>
        <xdr:cNvSpPr>
          <a:spLocks noChangeArrowheads="1"/>
        </xdr:cNvSpPr>
      </xdr:nvSpPr>
      <xdr:spPr bwMode="auto">
        <a:xfrm>
          <a:off x="5924550" y="1371600"/>
          <a:ext cx="771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1</xdr:row>
      <xdr:rowOff>238124</xdr:rowOff>
    </xdr:from>
    <xdr:to>
      <xdr:col>6</xdr:col>
      <xdr:colOff>228600</xdr:colOff>
      <xdr:row>8</xdr:row>
      <xdr:rowOff>9525</xdr:rowOff>
    </xdr:to>
    <xdr:sp macro="" textlink="">
      <xdr:nvSpPr>
        <xdr:cNvPr id="65731" name="Rectangle 64707">
          <a:extLst>
            <a:ext uri="{FF2B5EF4-FFF2-40B4-BE49-F238E27FC236}">
              <a16:creationId xmlns:a16="http://schemas.microsoft.com/office/drawing/2014/main" id="{00000000-0008-0000-0100-0000C3000100}"/>
            </a:ext>
          </a:extLst>
        </xdr:cNvPr>
        <xdr:cNvSpPr>
          <a:spLocks noChangeArrowheads="1"/>
        </xdr:cNvSpPr>
      </xdr:nvSpPr>
      <xdr:spPr bwMode="auto">
        <a:xfrm>
          <a:off x="200025" y="285749"/>
          <a:ext cx="1066800" cy="933451"/>
        </a:xfrm>
        <a:prstGeom prst="rect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76200</xdr:colOff>
      <xdr:row>8</xdr:row>
      <xdr:rowOff>87296</xdr:rowOff>
    </xdr:from>
    <xdr:to>
      <xdr:col>12</xdr:col>
      <xdr:colOff>152400</xdr:colOff>
      <xdr:row>10</xdr:row>
      <xdr:rowOff>93678</xdr:rowOff>
    </xdr:to>
    <xdr:sp macro="" textlink="">
      <xdr:nvSpPr>
        <xdr:cNvPr id="65732" name="Rectangle 64708">
          <a:extLst>
            <a:ext uri="{FF2B5EF4-FFF2-40B4-BE49-F238E27FC236}">
              <a16:creationId xmlns:a16="http://schemas.microsoft.com/office/drawing/2014/main" id="{00000000-0008-0000-0100-0000C4000100}"/>
            </a:ext>
          </a:extLst>
        </xdr:cNvPr>
        <xdr:cNvSpPr>
          <a:spLocks noChangeArrowheads="1"/>
        </xdr:cNvSpPr>
      </xdr:nvSpPr>
      <xdr:spPr bwMode="auto">
        <a:xfrm>
          <a:off x="104775" y="1316021"/>
          <a:ext cx="2238375" cy="31118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31</xdr:col>
      <xdr:colOff>38100</xdr:colOff>
      <xdr:row>4</xdr:row>
      <xdr:rowOff>85725</xdr:rowOff>
    </xdr:from>
    <xdr:to>
      <xdr:col>34</xdr:col>
      <xdr:colOff>161925</xdr:colOff>
      <xdr:row>8</xdr:row>
      <xdr:rowOff>114300</xdr:rowOff>
    </xdr:to>
    <xdr:sp macro="" textlink="">
      <xdr:nvSpPr>
        <xdr:cNvPr id="65733" name="Rectangle 64709">
          <a:extLst>
            <a:ext uri="{FF2B5EF4-FFF2-40B4-BE49-F238E27FC236}">
              <a16:creationId xmlns:a16="http://schemas.microsoft.com/office/drawing/2014/main" id="{00000000-0008-0000-0100-0000C5000100}"/>
            </a:ext>
          </a:extLst>
        </xdr:cNvPr>
        <xdr:cNvSpPr>
          <a:spLocks noChangeArrowheads="1"/>
        </xdr:cNvSpPr>
      </xdr:nvSpPr>
      <xdr:spPr bwMode="auto">
        <a:xfrm>
          <a:off x="5924550" y="685800"/>
          <a:ext cx="781050" cy="638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31</xdr:col>
      <xdr:colOff>47625</xdr:colOff>
      <xdr:row>1</xdr:row>
      <xdr:rowOff>47625</xdr:rowOff>
    </xdr:from>
    <xdr:to>
      <xdr:col>34</xdr:col>
      <xdr:colOff>161925</xdr:colOff>
      <xdr:row>4</xdr:row>
      <xdr:rowOff>28575</xdr:rowOff>
    </xdr:to>
    <xdr:sp macro="" textlink="">
      <xdr:nvSpPr>
        <xdr:cNvPr id="65734" name="Rectangle 64710">
          <a:extLst>
            <a:ext uri="{FF2B5EF4-FFF2-40B4-BE49-F238E27FC236}">
              <a16:creationId xmlns:a16="http://schemas.microsoft.com/office/drawing/2014/main" id="{00000000-0008-0000-0100-0000C6000100}"/>
            </a:ext>
          </a:extLst>
        </xdr:cNvPr>
        <xdr:cNvSpPr>
          <a:spLocks noChangeArrowheads="1"/>
        </xdr:cNvSpPr>
      </xdr:nvSpPr>
      <xdr:spPr bwMode="auto">
        <a:xfrm>
          <a:off x="5934075" y="95250"/>
          <a:ext cx="771525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23</xdr:col>
      <xdr:colOff>0</xdr:colOff>
      <xdr:row>1</xdr:row>
      <xdr:rowOff>28575</xdr:rowOff>
    </xdr:from>
    <xdr:to>
      <xdr:col>30</xdr:col>
      <xdr:colOff>219075</xdr:colOff>
      <xdr:row>1</xdr:row>
      <xdr:rowOff>219075</xdr:rowOff>
    </xdr:to>
    <xdr:sp macro="" textlink="">
      <xdr:nvSpPr>
        <xdr:cNvPr id="65735" name="Rectangle 64711">
          <a:extLst>
            <a:ext uri="{FF2B5EF4-FFF2-40B4-BE49-F238E27FC236}">
              <a16:creationId xmlns:a16="http://schemas.microsoft.com/office/drawing/2014/main" id="{00000000-0008-0000-0100-0000C7000100}"/>
            </a:ext>
          </a:extLst>
        </xdr:cNvPr>
        <xdr:cNvSpPr>
          <a:spLocks noChangeArrowheads="1"/>
        </xdr:cNvSpPr>
      </xdr:nvSpPr>
      <xdr:spPr bwMode="auto">
        <a:xfrm>
          <a:off x="4295775" y="76200"/>
          <a:ext cx="157162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23</xdr:col>
      <xdr:colOff>9525</xdr:colOff>
      <xdr:row>7</xdr:row>
      <xdr:rowOff>95250</xdr:rowOff>
    </xdr:from>
    <xdr:to>
      <xdr:col>30</xdr:col>
      <xdr:colOff>219075</xdr:colOff>
      <xdr:row>10</xdr:row>
      <xdr:rowOff>76200</xdr:rowOff>
    </xdr:to>
    <xdr:sp macro="" textlink="">
      <xdr:nvSpPr>
        <xdr:cNvPr id="65736" name="Rectangle 64712">
          <a:extLst>
            <a:ext uri="{FF2B5EF4-FFF2-40B4-BE49-F238E27FC236}">
              <a16:creationId xmlns:a16="http://schemas.microsoft.com/office/drawing/2014/main" id="{00000000-0008-0000-0100-0000C8000100}"/>
            </a:ext>
          </a:extLst>
        </xdr:cNvPr>
        <xdr:cNvSpPr>
          <a:spLocks noChangeArrowheads="1"/>
        </xdr:cNvSpPr>
      </xdr:nvSpPr>
      <xdr:spPr bwMode="auto">
        <a:xfrm>
          <a:off x="4305300" y="1152525"/>
          <a:ext cx="1562100" cy="438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38100</xdr:colOff>
      <xdr:row>1</xdr:row>
      <xdr:rowOff>104775</xdr:rowOff>
    </xdr:from>
    <xdr:to>
      <xdr:col>12</xdr:col>
      <xdr:colOff>104775</xdr:colOff>
      <xdr:row>8</xdr:row>
      <xdr:rowOff>28575</xdr:rowOff>
    </xdr:to>
    <xdr:sp macro="" textlink="">
      <xdr:nvSpPr>
        <xdr:cNvPr id="65737" name="Text 64713">
          <a:extLst>
            <a:ext uri="{FF2B5EF4-FFF2-40B4-BE49-F238E27FC236}">
              <a16:creationId xmlns:a16="http://schemas.microsoft.com/office/drawing/2014/main" id="{00000000-0008-0000-0100-0000C9000100}"/>
            </a:ext>
          </a:extLst>
        </xdr:cNvPr>
        <xdr:cNvSpPr txBox="1">
          <a:spLocks noChangeArrowheads="1"/>
        </xdr:cNvSpPr>
      </xdr:nvSpPr>
      <xdr:spPr bwMode="auto">
        <a:xfrm>
          <a:off x="1390650" y="152400"/>
          <a:ext cx="904875" cy="1085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</a:t>
          </a:r>
        </a:p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</a:t>
          </a:r>
        </a:p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</a:t>
          </a:r>
        </a:p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L</a:t>
          </a:r>
        </a:p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</a:t>
          </a:r>
        </a:p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6</xdr:row>
          <xdr:rowOff>38100</xdr:rowOff>
        </xdr:from>
        <xdr:to>
          <xdr:col>29</xdr:col>
          <xdr:colOff>28575</xdr:colOff>
          <xdr:row>7</xdr:row>
          <xdr:rowOff>47625</xdr:rowOff>
        </xdr:to>
        <xdr:sp macro="" textlink="">
          <xdr:nvSpPr>
            <xdr:cNvPr id="65738" name="Button 64714" hidden="1">
              <a:extLst>
                <a:ext uri="{63B3BB69-23CF-44E3-9099-C40C66FF867C}">
                  <a14:compatExt spid="_x0000_s65738"/>
                </a:ext>
                <a:ext uri="{FF2B5EF4-FFF2-40B4-BE49-F238E27FC236}">
                  <a16:creationId xmlns:a16="http://schemas.microsoft.com/office/drawing/2014/main" id="{00000000-0008-0000-0100-0000C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</xdr:row>
          <xdr:rowOff>38100</xdr:rowOff>
        </xdr:from>
        <xdr:to>
          <xdr:col>27</xdr:col>
          <xdr:colOff>57150</xdr:colOff>
          <xdr:row>1</xdr:row>
          <xdr:rowOff>180975</xdr:rowOff>
        </xdr:to>
        <xdr:sp macro="" textlink="">
          <xdr:nvSpPr>
            <xdr:cNvPr id="65739" name="window" hidden="1">
              <a:extLst>
                <a:ext uri="{63B3BB69-23CF-44E3-9099-C40C66FF867C}">
                  <a14:compatExt spid="_x0000_s65739"/>
                </a:ext>
                <a:ext uri="{FF2B5EF4-FFF2-40B4-BE49-F238E27FC236}">
                  <a16:creationId xmlns:a16="http://schemas.microsoft.com/office/drawing/2014/main" id="{00000000-0008-0000-0100-0000C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Window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114300</xdr:colOff>
          <xdr:row>1</xdr:row>
          <xdr:rowOff>38100</xdr:rowOff>
        </xdr:from>
        <xdr:to>
          <xdr:col>30</xdr:col>
          <xdr:colOff>161925</xdr:colOff>
          <xdr:row>1</xdr:row>
          <xdr:rowOff>180975</xdr:rowOff>
        </xdr:to>
        <xdr:sp macro="" textlink="">
          <xdr:nvSpPr>
            <xdr:cNvPr id="65740" name="menu" hidden="1">
              <a:extLst>
                <a:ext uri="{63B3BB69-23CF-44E3-9099-C40C66FF867C}">
                  <a14:compatExt spid="_x0000_s65740"/>
                </a:ext>
                <a:ext uri="{FF2B5EF4-FFF2-40B4-BE49-F238E27FC236}">
                  <a16:creationId xmlns:a16="http://schemas.microsoft.com/office/drawing/2014/main" id="{00000000-0008-0000-0100-0000C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Menu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66675</xdr:rowOff>
        </xdr:from>
        <xdr:to>
          <xdr:col>5</xdr:col>
          <xdr:colOff>85725</xdr:colOff>
          <xdr:row>23</xdr:row>
          <xdr:rowOff>171450</xdr:rowOff>
        </xdr:to>
        <xdr:sp macro="" textlink="">
          <xdr:nvSpPr>
            <xdr:cNvPr id="65741" name="Hold 1" hidden="1">
              <a:extLst>
                <a:ext uri="{63B3BB69-23CF-44E3-9099-C40C66FF867C}">
                  <a14:compatExt spid="_x0000_s65741"/>
                </a:ext>
                <a:ext uri="{FF2B5EF4-FFF2-40B4-BE49-F238E27FC236}">
                  <a16:creationId xmlns:a16="http://schemas.microsoft.com/office/drawing/2014/main" id="{00000000-0008-0000-0100-0000C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66675</xdr:rowOff>
        </xdr:from>
        <xdr:to>
          <xdr:col>11</xdr:col>
          <xdr:colOff>95250</xdr:colOff>
          <xdr:row>23</xdr:row>
          <xdr:rowOff>171450</xdr:rowOff>
        </xdr:to>
        <xdr:sp macro="" textlink="">
          <xdr:nvSpPr>
            <xdr:cNvPr id="65742" name="Hold 2" hidden="1">
              <a:extLst>
                <a:ext uri="{63B3BB69-23CF-44E3-9099-C40C66FF867C}">
                  <a14:compatExt spid="_x0000_s65742"/>
                </a:ext>
                <a:ext uri="{FF2B5EF4-FFF2-40B4-BE49-F238E27FC236}">
                  <a16:creationId xmlns:a16="http://schemas.microsoft.com/office/drawing/2014/main" id="{00000000-0008-0000-0100-0000C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22</xdr:row>
          <xdr:rowOff>66675</xdr:rowOff>
        </xdr:from>
        <xdr:to>
          <xdr:col>17</xdr:col>
          <xdr:colOff>133350</xdr:colOff>
          <xdr:row>23</xdr:row>
          <xdr:rowOff>171450</xdr:rowOff>
        </xdr:to>
        <xdr:sp macro="" textlink="">
          <xdr:nvSpPr>
            <xdr:cNvPr id="65743" name="Hold 3" hidden="1">
              <a:extLst>
                <a:ext uri="{63B3BB69-23CF-44E3-9099-C40C66FF867C}">
                  <a14:compatExt spid="_x0000_s65743"/>
                </a:ext>
                <a:ext uri="{FF2B5EF4-FFF2-40B4-BE49-F238E27FC236}">
                  <a16:creationId xmlns:a16="http://schemas.microsoft.com/office/drawing/2014/main" id="{00000000-0008-0000-0100-0000C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22</xdr:row>
          <xdr:rowOff>66675</xdr:rowOff>
        </xdr:from>
        <xdr:to>
          <xdr:col>23</xdr:col>
          <xdr:colOff>152400</xdr:colOff>
          <xdr:row>23</xdr:row>
          <xdr:rowOff>171450</xdr:rowOff>
        </xdr:to>
        <xdr:sp macro="" textlink="">
          <xdr:nvSpPr>
            <xdr:cNvPr id="65744" name="Hold 4" hidden="1">
              <a:extLst>
                <a:ext uri="{63B3BB69-23CF-44E3-9099-C40C66FF867C}">
                  <a14:compatExt spid="_x0000_s65744"/>
                </a:ext>
                <a:ext uri="{FF2B5EF4-FFF2-40B4-BE49-F238E27FC236}">
                  <a16:creationId xmlns:a16="http://schemas.microsoft.com/office/drawing/2014/main" id="{00000000-0008-0000-0100-0000D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23</xdr:row>
          <xdr:rowOff>0</xdr:rowOff>
        </xdr:from>
        <xdr:to>
          <xdr:col>29</xdr:col>
          <xdr:colOff>152400</xdr:colOff>
          <xdr:row>23</xdr:row>
          <xdr:rowOff>180975</xdr:rowOff>
        </xdr:to>
        <xdr:sp macro="" textlink="">
          <xdr:nvSpPr>
            <xdr:cNvPr id="65745" name="Hold 5" hidden="1">
              <a:extLst>
                <a:ext uri="{63B3BB69-23CF-44E3-9099-C40C66FF867C}">
                  <a14:compatExt spid="_x0000_s65745"/>
                </a:ext>
                <a:ext uri="{FF2B5EF4-FFF2-40B4-BE49-F238E27FC236}">
                  <a16:creationId xmlns:a16="http://schemas.microsoft.com/office/drawing/2014/main" id="{00000000-0008-0000-0100-0000D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7</xdr:row>
          <xdr:rowOff>133350</xdr:rowOff>
        </xdr:from>
        <xdr:to>
          <xdr:col>27</xdr:col>
          <xdr:colOff>66675</xdr:colOff>
          <xdr:row>9</xdr:row>
          <xdr:rowOff>38100</xdr:rowOff>
        </xdr:to>
        <xdr:sp macro="" textlink="">
          <xdr:nvSpPr>
            <xdr:cNvPr id="65746" name="optNweDesck" hidden="1">
              <a:extLst>
                <a:ext uri="{63B3BB69-23CF-44E3-9099-C40C66FF867C}">
                  <a14:compatExt spid="_x0000_s65746"/>
                </a:ext>
                <a:ext uri="{FF2B5EF4-FFF2-40B4-BE49-F238E27FC236}">
                  <a16:creationId xmlns:a16="http://schemas.microsoft.com/office/drawing/2014/main" id="{00000000-0008-0000-0100-0000D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Deck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9</xdr:row>
          <xdr:rowOff>0</xdr:rowOff>
        </xdr:from>
        <xdr:to>
          <xdr:col>27</xdr:col>
          <xdr:colOff>171450</xdr:colOff>
          <xdr:row>10</xdr:row>
          <xdr:rowOff>57150</xdr:rowOff>
        </xdr:to>
        <xdr:sp macro="" textlink="">
          <xdr:nvSpPr>
            <xdr:cNvPr id="65747" name="optShuffled" hidden="1">
              <a:extLst>
                <a:ext uri="{63B3BB69-23CF-44E3-9099-C40C66FF867C}">
                  <a14:compatExt spid="_x0000_s65747"/>
                </a:ext>
                <a:ext uri="{FF2B5EF4-FFF2-40B4-BE49-F238E27FC236}">
                  <a16:creationId xmlns:a16="http://schemas.microsoft.com/office/drawing/2014/main" id="{00000000-0008-0000-0100-0000D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Shuffled Deck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9</xdr:row>
          <xdr:rowOff>19050</xdr:rowOff>
        </xdr:from>
        <xdr:to>
          <xdr:col>30</xdr:col>
          <xdr:colOff>171450</xdr:colOff>
          <xdr:row>10</xdr:row>
          <xdr:rowOff>38100</xdr:rowOff>
        </xdr:to>
        <xdr:sp macro="" textlink="">
          <xdr:nvSpPr>
            <xdr:cNvPr id="65748" name="Button 64724" hidden="1">
              <a:extLst>
                <a:ext uri="{63B3BB69-23CF-44E3-9099-C40C66FF867C}">
                  <a14:compatExt spid="_x0000_s65748"/>
                </a:ext>
                <a:ext uri="{FF2B5EF4-FFF2-40B4-BE49-F238E27FC236}">
                  <a16:creationId xmlns:a16="http://schemas.microsoft.com/office/drawing/2014/main" id="{00000000-0008-0000-0100-0000D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1</xdr:row>
          <xdr:rowOff>133350</xdr:rowOff>
        </xdr:from>
        <xdr:to>
          <xdr:col>12</xdr:col>
          <xdr:colOff>57150</xdr:colOff>
          <xdr:row>2</xdr:row>
          <xdr:rowOff>85725</xdr:rowOff>
        </xdr:to>
        <xdr:sp macro="" textlink="">
          <xdr:nvSpPr>
            <xdr:cNvPr id="65749" name="Button 64725" hidden="1">
              <a:extLst>
                <a:ext uri="{63B3BB69-23CF-44E3-9099-C40C66FF867C}">
                  <a14:compatExt spid="_x0000_s65749"/>
                </a:ext>
                <a:ext uri="{FF2B5EF4-FFF2-40B4-BE49-F238E27FC236}">
                  <a16:creationId xmlns:a16="http://schemas.microsoft.com/office/drawing/2014/main" id="{00000000-0008-0000-0100-0000D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133350</xdr:rowOff>
        </xdr:from>
        <xdr:to>
          <xdr:col>12</xdr:col>
          <xdr:colOff>57150</xdr:colOff>
          <xdr:row>4</xdr:row>
          <xdr:rowOff>47625</xdr:rowOff>
        </xdr:to>
        <xdr:sp macro="" textlink="">
          <xdr:nvSpPr>
            <xdr:cNvPr id="65750" name="Button 64726" hidden="1">
              <a:extLst>
                <a:ext uri="{63B3BB69-23CF-44E3-9099-C40C66FF867C}">
                  <a14:compatExt spid="_x0000_s65750"/>
                </a:ext>
                <a:ext uri="{FF2B5EF4-FFF2-40B4-BE49-F238E27FC236}">
                  <a16:creationId xmlns:a16="http://schemas.microsoft.com/office/drawing/2014/main" id="{00000000-0008-0000-0100-0000D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Hands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4</xdr:row>
          <xdr:rowOff>104775</xdr:rowOff>
        </xdr:from>
        <xdr:to>
          <xdr:col>12</xdr:col>
          <xdr:colOff>57150</xdr:colOff>
          <xdr:row>6</xdr:row>
          <xdr:rowOff>19050</xdr:rowOff>
        </xdr:to>
        <xdr:sp macro="" textlink="">
          <xdr:nvSpPr>
            <xdr:cNvPr id="65751" name="Button 64727" hidden="1">
              <a:extLst>
                <a:ext uri="{63B3BB69-23CF-44E3-9099-C40C66FF867C}">
                  <a14:compatExt spid="_x0000_s65751"/>
                </a:ext>
                <a:ext uri="{FF2B5EF4-FFF2-40B4-BE49-F238E27FC236}">
                  <a16:creationId xmlns:a16="http://schemas.microsoft.com/office/drawing/2014/main" id="{00000000-0008-0000-0100-0000D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6</xdr:row>
          <xdr:rowOff>66675</xdr:rowOff>
        </xdr:from>
        <xdr:to>
          <xdr:col>12</xdr:col>
          <xdr:colOff>57150</xdr:colOff>
          <xdr:row>7</xdr:row>
          <xdr:rowOff>133350</xdr:rowOff>
        </xdr:to>
        <xdr:sp macro="" textlink="">
          <xdr:nvSpPr>
            <xdr:cNvPr id="65752" name="Button 64728" hidden="1">
              <a:extLst>
                <a:ext uri="{63B3BB69-23CF-44E3-9099-C40C66FF867C}">
                  <a14:compatExt spid="_x0000_s65752"/>
                </a:ext>
                <a:ext uri="{FF2B5EF4-FFF2-40B4-BE49-F238E27FC236}">
                  <a16:creationId xmlns:a16="http://schemas.microsoft.com/office/drawing/2014/main" id="{00000000-0008-0000-0100-0000D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Probability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8</xdr:row>
          <xdr:rowOff>142875</xdr:rowOff>
        </xdr:from>
        <xdr:to>
          <xdr:col>12</xdr:col>
          <xdr:colOff>57150</xdr:colOff>
          <xdr:row>10</xdr:row>
          <xdr:rowOff>47625</xdr:rowOff>
        </xdr:to>
        <xdr:sp macro="" textlink="">
          <xdr:nvSpPr>
            <xdr:cNvPr id="65753" name="Game Type" hidden="1">
              <a:extLst>
                <a:ext uri="{63B3BB69-23CF-44E3-9099-C40C66FF867C}">
                  <a14:compatExt spid="_x0000_s65753"/>
                </a:ext>
                <a:ext uri="{FF2B5EF4-FFF2-40B4-BE49-F238E27FC236}">
                  <a16:creationId xmlns:a16="http://schemas.microsoft.com/office/drawing/2014/main" id="{00000000-0008-0000-0100-0000D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104776</xdr:colOff>
      <xdr:row>8</xdr:row>
      <xdr:rowOff>142874</xdr:rowOff>
    </xdr:from>
    <xdr:to>
      <xdr:col>5</xdr:col>
      <xdr:colOff>19051</xdr:colOff>
      <xdr:row>10</xdr:row>
      <xdr:rowOff>57149</xdr:rowOff>
    </xdr:to>
    <xdr:sp macro="" textlink="">
      <xdr:nvSpPr>
        <xdr:cNvPr id="65754" name="Text 64730">
          <a:extLst>
            <a:ext uri="{FF2B5EF4-FFF2-40B4-BE49-F238E27FC236}">
              <a16:creationId xmlns:a16="http://schemas.microsoft.com/office/drawing/2014/main" id="{00000000-0008-0000-0100-0000DA000100}"/>
            </a:ext>
          </a:extLst>
        </xdr:cNvPr>
        <xdr:cNvSpPr txBox="1">
          <a:spLocks noChangeArrowheads="1"/>
        </xdr:cNvSpPr>
      </xdr:nvSpPr>
      <xdr:spPr bwMode="auto">
        <a:xfrm>
          <a:off x="133351" y="1371599"/>
          <a:ext cx="7239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ZA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Game Type: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7</xdr:row>
          <xdr:rowOff>123825</xdr:rowOff>
        </xdr:from>
        <xdr:to>
          <xdr:col>30</xdr:col>
          <xdr:colOff>171450</xdr:colOff>
          <xdr:row>8</xdr:row>
          <xdr:rowOff>142875</xdr:rowOff>
        </xdr:to>
        <xdr:sp macro="" textlink="">
          <xdr:nvSpPr>
            <xdr:cNvPr id="65755" name="Button 64731" hidden="1">
              <a:extLst>
                <a:ext uri="{63B3BB69-23CF-44E3-9099-C40C66FF867C}">
                  <a14:compatExt spid="_x0000_s65755"/>
                </a:ext>
                <a:ext uri="{FF2B5EF4-FFF2-40B4-BE49-F238E27FC236}">
                  <a16:creationId xmlns:a16="http://schemas.microsoft.com/office/drawing/2014/main" id="{00000000-0008-0000-0100-0000D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Deck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</xdr:colOff>
          <xdr:row>1</xdr:row>
          <xdr:rowOff>209550</xdr:rowOff>
        </xdr:from>
        <xdr:to>
          <xdr:col>34</xdr:col>
          <xdr:colOff>38100</xdr:colOff>
          <xdr:row>2</xdr:row>
          <xdr:rowOff>142875</xdr:rowOff>
        </xdr:to>
        <xdr:sp macro="" textlink="">
          <xdr:nvSpPr>
            <xdr:cNvPr id="65756" name="ddAutoPlays" hidden="1">
              <a:extLst>
                <a:ext uri="{63B3BB69-23CF-44E3-9099-C40C66FF867C}">
                  <a14:compatExt spid="_x0000_s65756"/>
                </a:ext>
                <a:ext uri="{FF2B5EF4-FFF2-40B4-BE49-F238E27FC236}">
                  <a16:creationId xmlns:a16="http://schemas.microsoft.com/office/drawing/2014/main" id="{00000000-0008-0000-0100-0000D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47625</xdr:colOff>
          <xdr:row>1</xdr:row>
          <xdr:rowOff>28575</xdr:rowOff>
        </xdr:from>
        <xdr:to>
          <xdr:col>34</xdr:col>
          <xdr:colOff>85725</xdr:colOff>
          <xdr:row>1</xdr:row>
          <xdr:rowOff>238125</xdr:rowOff>
        </xdr:to>
        <xdr:sp macro="" textlink="">
          <xdr:nvSpPr>
            <xdr:cNvPr id="65758" name="cbAutoPlay" hidden="1">
              <a:extLst>
                <a:ext uri="{63B3BB69-23CF-44E3-9099-C40C66FF867C}">
                  <a14:compatExt spid="_x0000_s65758"/>
                </a:ext>
                <a:ext uri="{FF2B5EF4-FFF2-40B4-BE49-F238E27FC236}">
                  <a16:creationId xmlns:a16="http://schemas.microsoft.com/office/drawing/2014/main" id="{00000000-0008-0000-0100-0000D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Play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4</xdr:row>
          <xdr:rowOff>95250</xdr:rowOff>
        </xdr:from>
        <xdr:to>
          <xdr:col>34</xdr:col>
          <xdr:colOff>200025</xdr:colOff>
          <xdr:row>6</xdr:row>
          <xdr:rowOff>0</xdr:rowOff>
        </xdr:to>
        <xdr:sp macro="" textlink="">
          <xdr:nvSpPr>
            <xdr:cNvPr id="65759" name="cbHandDetails" hidden="1">
              <a:extLst>
                <a:ext uri="{63B3BB69-23CF-44E3-9099-C40C66FF867C}">
                  <a14:compatExt spid="_x0000_s65759"/>
                </a:ext>
                <a:ext uri="{FF2B5EF4-FFF2-40B4-BE49-F238E27FC236}">
                  <a16:creationId xmlns:a16="http://schemas.microsoft.com/office/drawing/2014/main" id="{00000000-0008-0000-0100-0000D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Hand Detail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5</xdr:row>
          <xdr:rowOff>104775</xdr:rowOff>
        </xdr:from>
        <xdr:to>
          <xdr:col>34</xdr:col>
          <xdr:colOff>142875</xdr:colOff>
          <xdr:row>7</xdr:row>
          <xdr:rowOff>19050</xdr:rowOff>
        </xdr:to>
        <xdr:sp macro="" textlink="">
          <xdr:nvSpPr>
            <xdr:cNvPr id="65760" name="cbAutoHold" hidden="1">
              <a:extLst>
                <a:ext uri="{63B3BB69-23CF-44E3-9099-C40C66FF867C}">
                  <a14:compatExt spid="_x0000_s65760"/>
                </a:ext>
                <a:ext uri="{FF2B5EF4-FFF2-40B4-BE49-F238E27FC236}">
                  <a16:creationId xmlns:a16="http://schemas.microsoft.com/office/drawing/2014/main" id="{00000000-0008-0000-0100-0000E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Hold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19050</xdr:colOff>
          <xdr:row>7</xdr:row>
          <xdr:rowOff>19050</xdr:rowOff>
        </xdr:from>
        <xdr:to>
          <xdr:col>34</xdr:col>
          <xdr:colOff>104775</xdr:colOff>
          <xdr:row>8</xdr:row>
          <xdr:rowOff>57150</xdr:rowOff>
        </xdr:to>
        <xdr:sp macro="" textlink="">
          <xdr:nvSpPr>
            <xdr:cNvPr id="65761" name="Button 64737" hidden="1">
              <a:extLst>
                <a:ext uri="{63B3BB69-23CF-44E3-9099-C40C66FF867C}">
                  <a14:compatExt spid="_x0000_s65761"/>
                </a:ext>
                <a:ext uri="{FF2B5EF4-FFF2-40B4-BE49-F238E27FC236}">
                  <a16:creationId xmlns:a16="http://schemas.microsoft.com/office/drawing/2014/main" id="{00000000-0008-0000-0100-0000E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 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19050</xdr:colOff>
      <xdr:row>6</xdr:row>
      <xdr:rowOff>9525</xdr:rowOff>
    </xdr:from>
    <xdr:to>
      <xdr:col>30</xdr:col>
      <xdr:colOff>228600</xdr:colOff>
      <xdr:row>6</xdr:row>
      <xdr:rowOff>9525</xdr:rowOff>
    </xdr:to>
    <xdr:sp macro="" textlink="">
      <xdr:nvSpPr>
        <xdr:cNvPr id="65762" name="Line 64738">
          <a:extLst>
            <a:ext uri="{FF2B5EF4-FFF2-40B4-BE49-F238E27FC236}">
              <a16:creationId xmlns:a16="http://schemas.microsoft.com/office/drawing/2014/main" id="{00000000-0008-0000-0100-0000E2000100}"/>
            </a:ext>
          </a:extLst>
        </xdr:cNvPr>
        <xdr:cNvSpPr>
          <a:spLocks noChangeShapeType="1"/>
        </xdr:cNvSpPr>
      </xdr:nvSpPr>
      <xdr:spPr bwMode="auto">
        <a:xfrm flipV="1">
          <a:off x="4314825" y="914400"/>
          <a:ext cx="1562100" cy="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2</xdr:row>
      <xdr:rowOff>0</xdr:rowOff>
    </xdr:from>
    <xdr:to>
      <xdr:col>30</xdr:col>
      <xdr:colOff>219075</xdr:colOff>
      <xdr:row>7</xdr:row>
      <xdr:rowOff>85725</xdr:rowOff>
    </xdr:to>
    <xdr:sp macro="" textlink="">
      <xdr:nvSpPr>
        <xdr:cNvPr id="65763" name="Rectangle 64739">
          <a:extLst>
            <a:ext uri="{FF2B5EF4-FFF2-40B4-BE49-F238E27FC236}">
              <a16:creationId xmlns:a16="http://schemas.microsoft.com/office/drawing/2014/main" id="{00000000-0008-0000-0100-0000E3000100}"/>
            </a:ext>
          </a:extLst>
        </xdr:cNvPr>
        <xdr:cNvSpPr>
          <a:spLocks noChangeArrowheads="1"/>
        </xdr:cNvSpPr>
      </xdr:nvSpPr>
      <xdr:spPr bwMode="auto">
        <a:xfrm>
          <a:off x="4295775" y="295275"/>
          <a:ext cx="1571625" cy="847725"/>
        </a:xfrm>
        <a:prstGeom prst="rect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</xdr:colOff>
          <xdr:row>9</xdr:row>
          <xdr:rowOff>9525</xdr:rowOff>
        </xdr:from>
        <xdr:to>
          <xdr:col>34</xdr:col>
          <xdr:colOff>142875</xdr:colOff>
          <xdr:row>10</xdr:row>
          <xdr:rowOff>66675</xdr:rowOff>
        </xdr:to>
        <xdr:sp macro="" textlink="">
          <xdr:nvSpPr>
            <xdr:cNvPr id="65764" name="cbDouble" hidden="1">
              <a:extLst>
                <a:ext uri="{63B3BB69-23CF-44E3-9099-C40C66FF867C}">
                  <a14:compatExt spid="_x0000_s65764"/>
                </a:ext>
                <a:ext uri="{FF2B5EF4-FFF2-40B4-BE49-F238E27FC236}">
                  <a16:creationId xmlns:a16="http://schemas.microsoft.com/office/drawing/2014/main" id="{00000000-0008-0000-0100-0000E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Double Play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35</xdr:col>
      <xdr:colOff>0</xdr:colOff>
      <xdr:row>24</xdr:row>
      <xdr:rowOff>0</xdr:rowOff>
    </xdr:to>
    <xdr:sp macro="" textlink="">
      <xdr:nvSpPr>
        <xdr:cNvPr id="190724" name="Outerbox">
          <a:extLst>
            <a:ext uri="{FF2B5EF4-FFF2-40B4-BE49-F238E27FC236}">
              <a16:creationId xmlns:a16="http://schemas.microsoft.com/office/drawing/2014/main" id="{00000000-0008-0000-0100-000004E90200}"/>
            </a:ext>
          </a:extLst>
        </xdr:cNvPr>
        <xdr:cNvSpPr>
          <a:spLocks noChangeArrowheads="1"/>
        </xdr:cNvSpPr>
      </xdr:nvSpPr>
      <xdr:spPr bwMode="auto">
        <a:xfrm>
          <a:off x="28575" y="47625"/>
          <a:ext cx="6734175" cy="3629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14</xdr:row>
          <xdr:rowOff>19050</xdr:rowOff>
        </xdr:from>
        <xdr:to>
          <xdr:col>34</xdr:col>
          <xdr:colOff>0</xdr:colOff>
          <xdr:row>18</xdr:row>
          <xdr:rowOff>0</xdr:rowOff>
        </xdr:to>
        <xdr:sp macro="" textlink="">
          <xdr:nvSpPr>
            <xdr:cNvPr id="373012" name="Deal Draw" hidden="1">
              <a:extLst>
                <a:ext uri="{63B3BB69-23CF-44E3-9099-C40C66FF867C}">
                  <a14:compatExt spid="_x0000_s373012"/>
                </a:ext>
                <a:ext uri="{FF2B5EF4-FFF2-40B4-BE49-F238E27FC236}">
                  <a16:creationId xmlns:a16="http://schemas.microsoft.com/office/drawing/2014/main" id="{00000000-0008-0000-0100-000014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19050</xdr:colOff>
          <xdr:row>14</xdr:row>
          <xdr:rowOff>104775</xdr:rowOff>
        </xdr:from>
        <xdr:to>
          <xdr:col>33</xdr:col>
          <xdr:colOff>228600</xdr:colOff>
          <xdr:row>17</xdr:row>
          <xdr:rowOff>9525</xdr:rowOff>
        </xdr:to>
        <xdr:sp macro="" textlink="">
          <xdr:nvSpPr>
            <xdr:cNvPr id="373013" name="No Button" hidden="1">
              <a:extLst>
                <a:ext uri="{63B3BB69-23CF-44E3-9099-C40C66FF867C}">
                  <a14:compatExt spid="_x0000_s373013"/>
                </a:ext>
                <a:ext uri="{FF2B5EF4-FFF2-40B4-BE49-F238E27FC236}">
                  <a16:creationId xmlns:a16="http://schemas.microsoft.com/office/drawing/2014/main" id="{00000000-0008-0000-0100-000015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342900</xdr:colOff>
          <xdr:row>14</xdr:row>
          <xdr:rowOff>104775</xdr:rowOff>
        </xdr:from>
        <xdr:to>
          <xdr:col>34</xdr:col>
          <xdr:colOff>142875</xdr:colOff>
          <xdr:row>17</xdr:row>
          <xdr:rowOff>9525</xdr:rowOff>
        </xdr:to>
        <xdr:sp macro="" textlink="">
          <xdr:nvSpPr>
            <xdr:cNvPr id="373014" name="Yes Button" hidden="1">
              <a:extLst>
                <a:ext uri="{63B3BB69-23CF-44E3-9099-C40C66FF867C}">
                  <a14:compatExt spid="_x0000_s373014"/>
                </a:ext>
                <a:ext uri="{FF2B5EF4-FFF2-40B4-BE49-F238E27FC236}">
                  <a16:creationId xmlns:a16="http://schemas.microsoft.com/office/drawing/2014/main" id="{00000000-0008-0000-0100-000016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295275</xdr:colOff>
          <xdr:row>0</xdr:row>
          <xdr:rowOff>28575</xdr:rowOff>
        </xdr:from>
        <xdr:to>
          <xdr:col>39</xdr:col>
          <xdr:colOff>66675</xdr:colOff>
          <xdr:row>2</xdr:row>
          <xdr:rowOff>0</xdr:rowOff>
        </xdr:to>
        <xdr:sp macro="" textlink="">
          <xdr:nvSpPr>
            <xdr:cNvPr id="373015" name="10" hidden="1">
              <a:extLst>
                <a:ext uri="{63B3BB69-23CF-44E3-9099-C40C66FF867C}">
                  <a14:compatExt spid="_x0000_s373015"/>
                </a:ext>
                <a:ext uri="{FF2B5EF4-FFF2-40B4-BE49-F238E27FC236}">
                  <a16:creationId xmlns:a16="http://schemas.microsoft.com/office/drawing/2014/main" id="{00000000-0008-0000-0100-000017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38100</xdr:rowOff>
        </xdr:from>
        <xdr:to>
          <xdr:col>3</xdr:col>
          <xdr:colOff>38100</xdr:colOff>
          <xdr:row>1</xdr:row>
          <xdr:rowOff>180975</xdr:rowOff>
        </xdr:to>
        <xdr:sp macro="" textlink="">
          <xdr:nvSpPr>
            <xdr:cNvPr id="373019" name="window" hidden="1">
              <a:extLst>
                <a:ext uri="{63B3BB69-23CF-44E3-9099-C40C66FF867C}">
                  <a14:compatExt spid="_x0000_s373019"/>
                </a:ext>
                <a:ext uri="{FF2B5EF4-FFF2-40B4-BE49-F238E27FC236}">
                  <a16:creationId xmlns:a16="http://schemas.microsoft.com/office/drawing/2014/main" id="{00000000-0008-0000-0100-00001B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38100</xdr:rowOff>
        </xdr:from>
        <xdr:to>
          <xdr:col>7</xdr:col>
          <xdr:colOff>66675</xdr:colOff>
          <xdr:row>1</xdr:row>
          <xdr:rowOff>180975</xdr:rowOff>
        </xdr:to>
        <xdr:sp macro="" textlink="">
          <xdr:nvSpPr>
            <xdr:cNvPr id="373021" name="window" hidden="1">
              <a:extLst>
                <a:ext uri="{63B3BB69-23CF-44E3-9099-C40C66FF867C}">
                  <a14:compatExt spid="_x0000_s373021"/>
                </a:ext>
                <a:ext uri="{FF2B5EF4-FFF2-40B4-BE49-F238E27FC236}">
                  <a16:creationId xmlns:a16="http://schemas.microsoft.com/office/drawing/2014/main" id="{00000000-0008-0000-0100-00001D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38100</xdr:rowOff>
        </xdr:from>
        <xdr:to>
          <xdr:col>5</xdr:col>
          <xdr:colOff>66675</xdr:colOff>
          <xdr:row>1</xdr:row>
          <xdr:rowOff>180975</xdr:rowOff>
        </xdr:to>
        <xdr:sp macro="" textlink="">
          <xdr:nvSpPr>
            <xdr:cNvPr id="373022" name="Button 350494" hidden="1">
              <a:extLst>
                <a:ext uri="{63B3BB69-23CF-44E3-9099-C40C66FF867C}">
                  <a14:compatExt spid="_x0000_s373022"/>
                </a:ext>
                <a:ext uri="{FF2B5EF4-FFF2-40B4-BE49-F238E27FC236}">
                  <a16:creationId xmlns:a16="http://schemas.microsoft.com/office/drawing/2014/main" id="{00000000-0008-0000-0100-00001E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47625</xdr:colOff>
          <xdr:row>2</xdr:row>
          <xdr:rowOff>123825</xdr:rowOff>
        </xdr:from>
        <xdr:to>
          <xdr:col>34</xdr:col>
          <xdr:colOff>123825</xdr:colOff>
          <xdr:row>4</xdr:row>
          <xdr:rowOff>28575</xdr:rowOff>
        </xdr:to>
        <xdr:sp macro="" textlink="">
          <xdr:nvSpPr>
            <xdr:cNvPr id="373023" name="Check Box 350495" hidden="1">
              <a:extLst>
                <a:ext uri="{63B3BB69-23CF-44E3-9099-C40C66FF867C}">
                  <a14:compatExt spid="_x0000_s373023"/>
                </a:ext>
                <a:ext uri="{FF2B5EF4-FFF2-40B4-BE49-F238E27FC236}">
                  <a16:creationId xmlns:a16="http://schemas.microsoft.com/office/drawing/2014/main" id="{00000000-0008-0000-0100-00001FB1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cards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0</xdr:colOff>
      <xdr:row>13</xdr:row>
      <xdr:rowOff>0</xdr:rowOff>
    </xdr:from>
    <xdr:to>
      <xdr:col>7</xdr:col>
      <xdr:colOff>14331</xdr:colOff>
      <xdr:row>22</xdr:row>
      <xdr:rowOff>21951</xdr:rowOff>
    </xdr:to>
    <xdr:pic>
      <xdr:nvPicPr>
        <xdr:cNvPr id="55" name="Card Back 1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75" y="209361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8</xdr:col>
      <xdr:colOff>0</xdr:colOff>
      <xdr:row>13</xdr:row>
      <xdr:rowOff>0</xdr:rowOff>
    </xdr:from>
    <xdr:to>
      <xdr:col>13</xdr:col>
      <xdr:colOff>14332</xdr:colOff>
      <xdr:row>22</xdr:row>
      <xdr:rowOff>21951</xdr:rowOff>
    </xdr:to>
    <xdr:pic>
      <xdr:nvPicPr>
        <xdr:cNvPr id="56" name="Card Back 2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8589" y="209361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14</xdr:col>
      <xdr:colOff>0</xdr:colOff>
      <xdr:row>13</xdr:row>
      <xdr:rowOff>0</xdr:rowOff>
    </xdr:from>
    <xdr:to>
      <xdr:col>19</xdr:col>
      <xdr:colOff>14332</xdr:colOff>
      <xdr:row>22</xdr:row>
      <xdr:rowOff>21951</xdr:rowOff>
    </xdr:to>
    <xdr:pic>
      <xdr:nvPicPr>
        <xdr:cNvPr id="57" name="Card Back 3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703" y="209361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20</xdr:col>
      <xdr:colOff>0</xdr:colOff>
      <xdr:row>13</xdr:row>
      <xdr:rowOff>0</xdr:rowOff>
    </xdr:from>
    <xdr:to>
      <xdr:col>25</xdr:col>
      <xdr:colOff>14332</xdr:colOff>
      <xdr:row>22</xdr:row>
      <xdr:rowOff>21951</xdr:rowOff>
    </xdr:to>
    <xdr:pic>
      <xdr:nvPicPr>
        <xdr:cNvPr id="58" name="Card Back 4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0817" y="209361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26</xdr:col>
      <xdr:colOff>0</xdr:colOff>
      <xdr:row>13</xdr:row>
      <xdr:rowOff>0</xdr:rowOff>
    </xdr:from>
    <xdr:to>
      <xdr:col>31</xdr:col>
      <xdr:colOff>14332</xdr:colOff>
      <xdr:row>22</xdr:row>
      <xdr:rowOff>21951</xdr:rowOff>
    </xdr:to>
    <xdr:pic>
      <xdr:nvPicPr>
        <xdr:cNvPr id="59" name="Card Back 5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1931" y="209361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95250</xdr:rowOff>
    </xdr:from>
    <xdr:to>
      <xdr:col>13</xdr:col>
      <xdr:colOff>47625</xdr:colOff>
      <xdr:row>20</xdr:row>
      <xdr:rowOff>9525</xdr:rowOff>
    </xdr:to>
    <xdr:graphicFrame macro="">
      <xdr:nvGraphicFramePr>
        <xdr:cNvPr id="66561" name="Chart 1">
          <a:extLst>
            <a:ext uri="{FF2B5EF4-FFF2-40B4-BE49-F238E27FC236}">
              <a16:creationId xmlns:a16="http://schemas.microsoft.com/office/drawing/2014/main" id="{00000000-0008-0000-0200-0000010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17</xdr:row>
          <xdr:rowOff>142875</xdr:rowOff>
        </xdr:from>
        <xdr:to>
          <xdr:col>12</xdr:col>
          <xdr:colOff>342900</xdr:colOff>
          <xdr:row>19</xdr:row>
          <xdr:rowOff>104775</xdr:rowOff>
        </xdr:to>
        <xdr:sp macro="" textlink="">
          <xdr:nvSpPr>
            <xdr:cNvPr id="66562" name="xmax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2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17</xdr:row>
          <xdr:rowOff>9525</xdr:rowOff>
        </xdr:from>
        <xdr:to>
          <xdr:col>3</xdr:col>
          <xdr:colOff>657225</xdr:colOff>
          <xdr:row>18</xdr:row>
          <xdr:rowOff>142875</xdr:rowOff>
        </xdr:to>
        <xdr:sp macro="" textlink="">
          <xdr:nvSpPr>
            <xdr:cNvPr id="66563" name="ymin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2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2</xdr:row>
          <xdr:rowOff>104775</xdr:rowOff>
        </xdr:from>
        <xdr:to>
          <xdr:col>4</xdr:col>
          <xdr:colOff>0</xdr:colOff>
          <xdr:row>4</xdr:row>
          <xdr:rowOff>66675</xdr:rowOff>
        </xdr:to>
        <xdr:sp macro="" textlink="">
          <xdr:nvSpPr>
            <xdr:cNvPr id="66564" name="ymax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2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28</xdr:row>
          <xdr:rowOff>0</xdr:rowOff>
        </xdr:from>
        <xdr:to>
          <xdr:col>4</xdr:col>
          <xdr:colOff>38100</xdr:colOff>
          <xdr:row>29</xdr:row>
          <xdr:rowOff>38100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2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29</xdr:row>
          <xdr:rowOff>133350</xdr:rowOff>
        </xdr:from>
        <xdr:to>
          <xdr:col>4</xdr:col>
          <xdr:colOff>38100</xdr:colOff>
          <xdr:row>30</xdr:row>
          <xdr:rowOff>38100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2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Hands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30</xdr:row>
          <xdr:rowOff>142875</xdr:rowOff>
        </xdr:from>
        <xdr:to>
          <xdr:col>4</xdr:col>
          <xdr:colOff>38100</xdr:colOff>
          <xdr:row>32</xdr:row>
          <xdr:rowOff>28575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2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32</xdr:row>
          <xdr:rowOff>133350</xdr:rowOff>
        </xdr:from>
        <xdr:to>
          <xdr:col>4</xdr:col>
          <xdr:colOff>38100</xdr:colOff>
          <xdr:row>34</xdr:row>
          <xdr:rowOff>47625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2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Probability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57150</xdr:rowOff>
        </xdr:from>
        <xdr:to>
          <xdr:col>3</xdr:col>
          <xdr:colOff>171450</xdr:colOff>
          <xdr:row>2</xdr:row>
          <xdr:rowOff>114300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02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19050</xdr:rowOff>
        </xdr:from>
        <xdr:to>
          <xdr:col>3</xdr:col>
          <xdr:colOff>171450</xdr:colOff>
          <xdr:row>6</xdr:row>
          <xdr:rowOff>76200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02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Hands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114300</xdr:rowOff>
        </xdr:from>
        <xdr:to>
          <xdr:col>3</xdr:col>
          <xdr:colOff>171450</xdr:colOff>
          <xdr:row>8</xdr:row>
          <xdr:rowOff>9525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02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57150</xdr:rowOff>
        </xdr:from>
        <xdr:to>
          <xdr:col>3</xdr:col>
          <xdr:colOff>171450</xdr:colOff>
          <xdr:row>9</xdr:row>
          <xdr:rowOff>114300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02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Probability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133350</xdr:rowOff>
        </xdr:from>
        <xdr:to>
          <xdr:col>3</xdr:col>
          <xdr:colOff>171450</xdr:colOff>
          <xdr:row>12</xdr:row>
          <xdr:rowOff>28575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02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38</xdr:row>
          <xdr:rowOff>104775</xdr:rowOff>
        </xdr:from>
        <xdr:to>
          <xdr:col>4</xdr:col>
          <xdr:colOff>28575</xdr:colOff>
          <xdr:row>39</xdr:row>
          <xdr:rowOff>161925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02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18</xdr:row>
          <xdr:rowOff>28575</xdr:rowOff>
        </xdr:from>
        <xdr:to>
          <xdr:col>3</xdr:col>
          <xdr:colOff>152400</xdr:colOff>
          <xdr:row>19</xdr:row>
          <xdr:rowOff>85725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02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16</xdr:row>
          <xdr:rowOff>95250</xdr:rowOff>
        </xdr:from>
        <xdr:to>
          <xdr:col>12</xdr:col>
          <xdr:colOff>438150</xdr:colOff>
          <xdr:row>17</xdr:row>
          <xdr:rowOff>95250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02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28575</xdr:rowOff>
        </xdr:from>
        <xdr:to>
          <xdr:col>4</xdr:col>
          <xdr:colOff>66675</xdr:colOff>
          <xdr:row>2</xdr:row>
          <xdr:rowOff>66675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02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Max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561975</xdr:colOff>
      <xdr:row>43</xdr:row>
      <xdr:rowOff>100012</xdr:rowOff>
    </xdr:from>
    <xdr:to>
      <xdr:col>12</xdr:col>
      <xdr:colOff>533400</xdr:colOff>
      <xdr:row>56</xdr:row>
      <xdr:rowOff>133350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561975</xdr:colOff>
      <xdr:row>57</xdr:row>
      <xdr:rowOff>19049</xdr:rowOff>
    </xdr:from>
    <xdr:to>
      <xdr:col>12</xdr:col>
      <xdr:colOff>561975</xdr:colOff>
      <xdr:row>64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76200</xdr:colOff>
      <xdr:row>0</xdr:row>
      <xdr:rowOff>152401</xdr:rowOff>
    </xdr:from>
    <xdr:to>
      <xdr:col>24</xdr:col>
      <xdr:colOff>552450</xdr:colOff>
      <xdr:row>20</xdr:row>
      <xdr:rowOff>66675</xdr:rowOff>
    </xdr:to>
    <xdr:graphicFrame macro="">
      <xdr:nvGraphicFramePr>
        <xdr:cNvPr id="21" name="Chart 3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152400</xdr:rowOff>
        </xdr:from>
        <xdr:to>
          <xdr:col>3</xdr:col>
          <xdr:colOff>171450</xdr:colOff>
          <xdr:row>4</xdr:row>
          <xdr:rowOff>47625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02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95250</xdr:rowOff>
        </xdr:from>
        <xdr:to>
          <xdr:col>14</xdr:col>
          <xdr:colOff>276225</xdr:colOff>
          <xdr:row>2</xdr:row>
          <xdr:rowOff>152400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02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10</xdr:row>
          <xdr:rowOff>66675</xdr:rowOff>
        </xdr:from>
        <xdr:to>
          <xdr:col>14</xdr:col>
          <xdr:colOff>276225</xdr:colOff>
          <xdr:row>11</xdr:row>
          <xdr:rowOff>123825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02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485775</xdr:colOff>
          <xdr:row>17</xdr:row>
          <xdr:rowOff>19050</xdr:rowOff>
        </xdr:from>
        <xdr:to>
          <xdr:col>24</xdr:col>
          <xdr:colOff>266700</xdr:colOff>
          <xdr:row>18</xdr:row>
          <xdr:rowOff>19050</xdr:rowOff>
        </xdr:to>
        <xdr:sp macro="" textlink="">
          <xdr:nvSpPr>
            <xdr:cNvPr id="66584" name="xmaxPayout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02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51</xdr:row>
          <xdr:rowOff>95250</xdr:rowOff>
        </xdr:from>
        <xdr:to>
          <xdr:col>3</xdr:col>
          <xdr:colOff>466725</xdr:colOff>
          <xdr:row>52</xdr:row>
          <xdr:rowOff>152400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02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34</xdr:row>
          <xdr:rowOff>142875</xdr:rowOff>
        </xdr:from>
        <xdr:to>
          <xdr:col>4</xdr:col>
          <xdr:colOff>9525</xdr:colOff>
          <xdr:row>36</xdr:row>
          <xdr:rowOff>38100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02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Plot Wins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44</xdr:row>
          <xdr:rowOff>28575</xdr:rowOff>
        </xdr:from>
        <xdr:to>
          <xdr:col>3</xdr:col>
          <xdr:colOff>476250</xdr:colOff>
          <xdr:row>45</xdr:row>
          <xdr:rowOff>85725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02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Hands Won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561975</xdr:colOff>
      <xdr:row>64</xdr:row>
      <xdr:rowOff>114300</xdr:rowOff>
    </xdr:from>
    <xdr:to>
      <xdr:col>12</xdr:col>
      <xdr:colOff>561975</xdr:colOff>
      <xdr:row>71</xdr:row>
      <xdr:rowOff>142876</xdr:rowOff>
    </xdr:to>
    <xdr:graphicFrame macro="">
      <xdr:nvGraphicFramePr>
        <xdr:cNvPr id="29" name="Chart 5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19</xdr:row>
          <xdr:rowOff>19050</xdr:rowOff>
        </xdr:from>
        <xdr:to>
          <xdr:col>0</xdr:col>
          <xdr:colOff>790575</xdr:colOff>
          <xdr:row>19</xdr:row>
          <xdr:rowOff>238125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3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19</xdr:row>
          <xdr:rowOff>295275</xdr:rowOff>
        </xdr:from>
        <xdr:to>
          <xdr:col>0</xdr:col>
          <xdr:colOff>790575</xdr:colOff>
          <xdr:row>20</xdr:row>
          <xdr:rowOff>47625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3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Hands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20</xdr:row>
          <xdr:rowOff>104775</xdr:rowOff>
        </xdr:from>
        <xdr:to>
          <xdr:col>0</xdr:col>
          <xdr:colOff>790575</xdr:colOff>
          <xdr:row>22</xdr:row>
          <xdr:rowOff>19050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3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22</xdr:row>
          <xdr:rowOff>76200</xdr:rowOff>
        </xdr:from>
        <xdr:to>
          <xdr:col>0</xdr:col>
          <xdr:colOff>790575</xdr:colOff>
          <xdr:row>23</xdr:row>
          <xdr:rowOff>142875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3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Probability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28575</xdr:rowOff>
        </xdr:from>
        <xdr:to>
          <xdr:col>0</xdr:col>
          <xdr:colOff>800100</xdr:colOff>
          <xdr:row>2</xdr:row>
          <xdr:rowOff>247650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3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285750</xdr:rowOff>
        </xdr:from>
        <xdr:to>
          <xdr:col>0</xdr:col>
          <xdr:colOff>809625</xdr:colOff>
          <xdr:row>3</xdr:row>
          <xdr:rowOff>38100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3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Hands 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85725</xdr:rowOff>
        </xdr:from>
        <xdr:to>
          <xdr:col>0</xdr:col>
          <xdr:colOff>800100</xdr:colOff>
          <xdr:row>4</xdr:row>
          <xdr:rowOff>142875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3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28575</xdr:rowOff>
        </xdr:from>
        <xdr:to>
          <xdr:col>0</xdr:col>
          <xdr:colOff>800100</xdr:colOff>
          <xdr:row>6</xdr:row>
          <xdr:rowOff>85725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3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Probability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142875</xdr:rowOff>
        </xdr:from>
        <xdr:to>
          <xdr:col>0</xdr:col>
          <xdr:colOff>800100</xdr:colOff>
          <xdr:row>9</xdr:row>
          <xdr:rowOff>38100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3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66675</xdr:rowOff>
        </xdr:from>
        <xdr:to>
          <xdr:col>0</xdr:col>
          <xdr:colOff>781050</xdr:colOff>
          <xdr:row>26</xdr:row>
          <xdr:rowOff>133350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3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29</xdr:row>
          <xdr:rowOff>95250</xdr:rowOff>
        </xdr:from>
        <xdr:to>
          <xdr:col>0</xdr:col>
          <xdr:colOff>714375</xdr:colOff>
          <xdr:row>32</xdr:row>
          <xdr:rowOff>85725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3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% Payout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56</xdr:row>
          <xdr:rowOff>9525</xdr:rowOff>
        </xdr:from>
        <xdr:to>
          <xdr:col>3</xdr:col>
          <xdr:colOff>390525</xdr:colOff>
          <xdr:row>58</xdr:row>
          <xdr:rowOff>57150</xdr:rowOff>
        </xdr:to>
        <xdr:sp macro="" textlink="">
          <xdr:nvSpPr>
            <xdr:cNvPr id="67598" name="Button 14" hidden="1">
              <a:extLst>
                <a:ext uri="{63B3BB69-23CF-44E3-9099-C40C66FF867C}">
                  <a14:compatExt spid="_x0000_s67598"/>
                </a:ext>
                <a:ext uri="{FF2B5EF4-FFF2-40B4-BE49-F238E27FC236}">
                  <a16:creationId xmlns:a16="http://schemas.microsoft.com/office/drawing/2014/main" id="{00000000-0008-0000-0300-00000E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Symbol"/>
                </a:rPr>
                <a:t>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58</xdr:row>
          <xdr:rowOff>76200</xdr:rowOff>
        </xdr:from>
        <xdr:to>
          <xdr:col>3</xdr:col>
          <xdr:colOff>381000</xdr:colOff>
          <xdr:row>60</xdr:row>
          <xdr:rowOff>47625</xdr:rowOff>
        </xdr:to>
        <xdr:sp macro="" textlink="">
          <xdr:nvSpPr>
            <xdr:cNvPr id="67599" name="Button 15" hidden="1">
              <a:extLst>
                <a:ext uri="{63B3BB69-23CF-44E3-9099-C40C66FF867C}">
                  <a14:compatExt spid="_x0000_s67599"/>
                </a:ext>
                <a:ext uri="{FF2B5EF4-FFF2-40B4-BE49-F238E27FC236}">
                  <a16:creationId xmlns:a16="http://schemas.microsoft.com/office/drawing/2014/main" id="{00000000-0008-0000-0300-00000F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Symbol"/>
                </a:rPr>
                <a:t>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46</xdr:row>
          <xdr:rowOff>38100</xdr:rowOff>
        </xdr:from>
        <xdr:to>
          <xdr:col>4</xdr:col>
          <xdr:colOff>342900</xdr:colOff>
          <xdr:row>47</xdr:row>
          <xdr:rowOff>85725</xdr:rowOff>
        </xdr:to>
        <xdr:sp macro="" textlink="">
          <xdr:nvSpPr>
            <xdr:cNvPr id="67600" name="Button 16" hidden="1">
              <a:extLst>
                <a:ext uri="{63B3BB69-23CF-44E3-9099-C40C66FF867C}">
                  <a14:compatExt spid="_x0000_s67600"/>
                </a:ext>
                <a:ext uri="{FF2B5EF4-FFF2-40B4-BE49-F238E27FC236}">
                  <a16:creationId xmlns:a16="http://schemas.microsoft.com/office/drawing/2014/main" id="{00000000-0008-0000-0300-000010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Set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63</xdr:row>
          <xdr:rowOff>0</xdr:rowOff>
        </xdr:from>
        <xdr:to>
          <xdr:col>4</xdr:col>
          <xdr:colOff>276225</xdr:colOff>
          <xdr:row>65</xdr:row>
          <xdr:rowOff>0</xdr:rowOff>
        </xdr:to>
        <xdr:sp macro="" textlink="">
          <xdr:nvSpPr>
            <xdr:cNvPr id="67601" name="Button 17" hidden="1">
              <a:extLst>
                <a:ext uri="{63B3BB69-23CF-44E3-9099-C40C66FF867C}">
                  <a14:compatExt spid="_x0000_s67601"/>
                </a:ext>
                <a:ext uri="{FF2B5EF4-FFF2-40B4-BE49-F238E27FC236}">
                  <a16:creationId xmlns:a16="http://schemas.microsoft.com/office/drawing/2014/main" id="{00000000-0008-0000-0300-00001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66675</xdr:colOff>
      <xdr:row>48</xdr:row>
      <xdr:rowOff>28575</xdr:rowOff>
    </xdr:from>
    <xdr:to>
      <xdr:col>3</xdr:col>
      <xdr:colOff>152400</xdr:colOff>
      <xdr:row>48</xdr:row>
      <xdr:rowOff>114300</xdr:rowOff>
    </xdr:to>
    <xdr:sp macro="" textlink="">
      <xdr:nvSpPr>
        <xdr:cNvPr id="67602" name="Rectangle 18">
          <a:extLst>
            <a:ext uri="{FF2B5EF4-FFF2-40B4-BE49-F238E27FC236}">
              <a16:creationId xmlns:a16="http://schemas.microsoft.com/office/drawing/2014/main" id="{00000000-0008-0000-0300-000012080100}"/>
            </a:ext>
          </a:extLst>
        </xdr:cNvPr>
        <xdr:cNvSpPr>
          <a:spLocks noChangeArrowheads="1"/>
        </xdr:cNvSpPr>
      </xdr:nvSpPr>
      <xdr:spPr bwMode="auto">
        <a:xfrm>
          <a:off x="3000375" y="8734425"/>
          <a:ext cx="85725" cy="85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80" mc:Ignorable="a14" a14:legacySpreadsheetColorIndex="2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180975</xdr:colOff>
      <xdr:row>47</xdr:row>
      <xdr:rowOff>123825</xdr:rowOff>
    </xdr:from>
    <xdr:to>
      <xdr:col>5</xdr:col>
      <xdr:colOff>0</xdr:colOff>
      <xdr:row>49</xdr:row>
      <xdr:rowOff>28575</xdr:rowOff>
    </xdr:to>
    <xdr:sp macro="" textlink="">
      <xdr:nvSpPr>
        <xdr:cNvPr id="67603" name="Text 19">
          <a:extLst>
            <a:ext uri="{FF2B5EF4-FFF2-40B4-BE49-F238E27FC236}">
              <a16:creationId xmlns:a16="http://schemas.microsoft.com/office/drawing/2014/main" id="{00000000-0008-0000-0300-000013080100}"/>
            </a:ext>
          </a:extLst>
        </xdr:cNvPr>
        <xdr:cNvSpPr txBox="1">
          <a:spLocks noChangeArrowheads="1"/>
        </xdr:cNvSpPr>
      </xdr:nvSpPr>
      <xdr:spPr bwMode="auto">
        <a:xfrm>
          <a:off x="3114675" y="8705850"/>
          <a:ext cx="8477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ZA" sz="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Winning Hand hands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19</xdr:row>
          <xdr:rowOff>228600</xdr:rowOff>
        </xdr:from>
        <xdr:to>
          <xdr:col>8</xdr:col>
          <xdr:colOff>590550</xdr:colOff>
          <xdr:row>19</xdr:row>
          <xdr:rowOff>409575</xdr:rowOff>
        </xdr:to>
        <xdr:sp macro="" textlink="">
          <xdr:nvSpPr>
            <xdr:cNvPr id="67604" name="JokerGo" hidden="1">
              <a:extLst>
                <a:ext uri="{63B3BB69-23CF-44E3-9099-C40C66FF867C}">
                  <a14:compatExt spid="_x0000_s67604"/>
                </a:ext>
                <a:ext uri="{FF2B5EF4-FFF2-40B4-BE49-F238E27FC236}">
                  <a16:creationId xmlns:a16="http://schemas.microsoft.com/office/drawing/2014/main" id="{00000000-0008-0000-0300-00001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Goto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28575</xdr:rowOff>
    </xdr:from>
    <xdr:to>
      <xdr:col>20</xdr:col>
      <xdr:colOff>428625</xdr:colOff>
      <xdr:row>21</xdr:row>
      <xdr:rowOff>285750</xdr:rowOff>
    </xdr:to>
    <xdr:graphicFrame macro="">
      <xdr:nvGraphicFramePr>
        <xdr:cNvPr id="81341" name="shuffled deck">
          <a:extLst>
            <a:ext uri="{FF2B5EF4-FFF2-40B4-BE49-F238E27FC236}">
              <a16:creationId xmlns:a16="http://schemas.microsoft.com/office/drawing/2014/main" id="{00000000-0008-0000-0400-0000BD3D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28575</xdr:rowOff>
        </xdr:from>
        <xdr:to>
          <xdr:col>11</xdr:col>
          <xdr:colOff>752475</xdr:colOff>
          <xdr:row>33</xdr:row>
          <xdr:rowOff>38100</xdr:rowOff>
        </xdr:to>
        <xdr:sp macro="" textlink="">
          <xdr:nvSpPr>
            <xdr:cNvPr id="81331" name="Button 12723" hidden="1">
              <a:extLst>
                <a:ext uri="{63B3BB69-23CF-44E3-9099-C40C66FF867C}">
                  <a14:compatExt spid="_x0000_s81331"/>
                </a:ext>
                <a:ext uri="{FF2B5EF4-FFF2-40B4-BE49-F238E27FC236}">
                  <a16:creationId xmlns:a16="http://schemas.microsoft.com/office/drawing/2014/main" id="{00000000-0008-0000-0400-0000B33D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0</xdr:colOff>
      <xdr:row>12</xdr:row>
      <xdr:rowOff>9525</xdr:rowOff>
    </xdr:from>
    <xdr:to>
      <xdr:col>28</xdr:col>
      <xdr:colOff>9525</xdr:colOff>
      <xdr:row>20</xdr:row>
      <xdr:rowOff>9525</xdr:rowOff>
    </xdr:to>
    <xdr:sp macro="" textlink="">
      <xdr:nvSpPr>
        <xdr:cNvPr id="81332" name="Rectangle 12724">
          <a:extLst>
            <a:ext uri="{FF2B5EF4-FFF2-40B4-BE49-F238E27FC236}">
              <a16:creationId xmlns:a16="http://schemas.microsoft.com/office/drawing/2014/main" id="{00000000-0008-0000-0400-0000B43D0100}"/>
            </a:ext>
          </a:extLst>
        </xdr:cNvPr>
        <xdr:cNvSpPr>
          <a:spLocks noChangeArrowheads="1"/>
        </xdr:cNvSpPr>
      </xdr:nvSpPr>
      <xdr:spPr bwMode="auto">
        <a:xfrm>
          <a:off x="9305925" y="1990725"/>
          <a:ext cx="990600" cy="1143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14</xdr:row>
          <xdr:rowOff>95250</xdr:rowOff>
        </xdr:from>
        <xdr:to>
          <xdr:col>20</xdr:col>
          <xdr:colOff>304800</xdr:colOff>
          <xdr:row>16</xdr:row>
          <xdr:rowOff>114300</xdr:rowOff>
        </xdr:to>
        <xdr:sp macro="" textlink="">
          <xdr:nvSpPr>
            <xdr:cNvPr id="82466" name="Button 13858" hidden="1">
              <a:extLst>
                <a:ext uri="{63B3BB69-23CF-44E3-9099-C40C66FF867C}">
                  <a14:compatExt spid="_x0000_s82466"/>
                </a:ext>
                <a:ext uri="{FF2B5EF4-FFF2-40B4-BE49-F238E27FC236}">
                  <a16:creationId xmlns:a16="http://schemas.microsoft.com/office/drawing/2014/main" id="{00000000-0008-0000-0400-0000224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7</xdr:row>
          <xdr:rowOff>95250</xdr:rowOff>
        </xdr:from>
        <xdr:to>
          <xdr:col>20</xdr:col>
          <xdr:colOff>295275</xdr:colOff>
          <xdr:row>8</xdr:row>
          <xdr:rowOff>104775</xdr:rowOff>
        </xdr:to>
        <xdr:sp macro="" textlink="">
          <xdr:nvSpPr>
            <xdr:cNvPr id="82467" name="spade data" hidden="1">
              <a:extLst>
                <a:ext uri="{63B3BB69-23CF-44E3-9099-C40C66FF867C}">
                  <a14:compatExt spid="_x0000_s82467"/>
                </a:ext>
                <a:ext uri="{FF2B5EF4-FFF2-40B4-BE49-F238E27FC236}">
                  <a16:creationId xmlns:a16="http://schemas.microsoft.com/office/drawing/2014/main" id="{00000000-0008-0000-0400-0000234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8</xdr:row>
          <xdr:rowOff>152400</xdr:rowOff>
        </xdr:from>
        <xdr:to>
          <xdr:col>20</xdr:col>
          <xdr:colOff>295275</xdr:colOff>
          <xdr:row>10</xdr:row>
          <xdr:rowOff>0</xdr:rowOff>
        </xdr:to>
        <xdr:sp macro="" textlink="">
          <xdr:nvSpPr>
            <xdr:cNvPr id="82468" name="diamond data" hidden="1">
              <a:extLst>
                <a:ext uri="{63B3BB69-23CF-44E3-9099-C40C66FF867C}">
                  <a14:compatExt spid="_x0000_s82468"/>
                </a:ext>
                <a:ext uri="{FF2B5EF4-FFF2-40B4-BE49-F238E27FC236}">
                  <a16:creationId xmlns:a16="http://schemas.microsoft.com/office/drawing/2014/main" id="{00000000-0008-0000-0400-0000244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10</xdr:row>
          <xdr:rowOff>47625</xdr:rowOff>
        </xdr:from>
        <xdr:to>
          <xdr:col>20</xdr:col>
          <xdr:colOff>295275</xdr:colOff>
          <xdr:row>11</xdr:row>
          <xdr:rowOff>57150</xdr:rowOff>
        </xdr:to>
        <xdr:sp macro="" textlink="">
          <xdr:nvSpPr>
            <xdr:cNvPr id="82469" name="heart data" hidden="1">
              <a:extLst>
                <a:ext uri="{63B3BB69-23CF-44E3-9099-C40C66FF867C}">
                  <a14:compatExt spid="_x0000_s82469"/>
                </a:ext>
                <a:ext uri="{FF2B5EF4-FFF2-40B4-BE49-F238E27FC236}">
                  <a16:creationId xmlns:a16="http://schemas.microsoft.com/office/drawing/2014/main" id="{00000000-0008-0000-0400-0000254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11</xdr:row>
          <xdr:rowOff>85725</xdr:rowOff>
        </xdr:from>
        <xdr:to>
          <xdr:col>20</xdr:col>
          <xdr:colOff>295275</xdr:colOff>
          <xdr:row>12</xdr:row>
          <xdr:rowOff>95250</xdr:rowOff>
        </xdr:to>
        <xdr:sp macro="" textlink="">
          <xdr:nvSpPr>
            <xdr:cNvPr id="82470" name="club data" hidden="1">
              <a:extLst>
                <a:ext uri="{63B3BB69-23CF-44E3-9099-C40C66FF867C}">
                  <a14:compatExt spid="_x0000_s82470"/>
                </a:ext>
                <a:ext uri="{FF2B5EF4-FFF2-40B4-BE49-F238E27FC236}">
                  <a16:creationId xmlns:a16="http://schemas.microsoft.com/office/drawing/2014/main" id="{00000000-0008-0000-0400-0000264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Y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514350</xdr:colOff>
      <xdr:row>6</xdr:row>
      <xdr:rowOff>47625</xdr:rowOff>
    </xdr:from>
    <xdr:to>
      <xdr:col>20</xdr:col>
      <xdr:colOff>361950</xdr:colOff>
      <xdr:row>7</xdr:row>
      <xdr:rowOff>57150</xdr:rowOff>
    </xdr:to>
    <xdr:sp macro="" textlink="">
      <xdr:nvSpPr>
        <xdr:cNvPr id="83461" name="Text 14853">
          <a:extLst>
            <a:ext uri="{FF2B5EF4-FFF2-40B4-BE49-F238E27FC236}">
              <a16:creationId xmlns:a16="http://schemas.microsoft.com/office/drawing/2014/main" id="{00000000-0008-0000-0400-000005460100}"/>
            </a:ext>
          </a:extLst>
        </xdr:cNvPr>
        <xdr:cNvSpPr txBox="1">
          <a:spLocks noChangeArrowheads="1"/>
        </xdr:cNvSpPr>
      </xdr:nvSpPr>
      <xdr:spPr bwMode="auto">
        <a:xfrm>
          <a:off x="7562850" y="1057275"/>
          <a:ext cx="38100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ZA" sz="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On/Off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114300</xdr:rowOff>
        </xdr:from>
        <xdr:to>
          <xdr:col>7</xdr:col>
          <xdr:colOff>666750</xdr:colOff>
          <xdr:row>10</xdr:row>
          <xdr:rowOff>66675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236007</xdr:colOff>
      <xdr:row>3</xdr:row>
      <xdr:rowOff>213783</xdr:rowOff>
    </xdr:from>
    <xdr:to>
      <xdr:col>15</xdr:col>
      <xdr:colOff>388407</xdr:colOff>
      <xdr:row>6</xdr:row>
      <xdr:rowOff>98425</xdr:rowOff>
    </xdr:to>
    <xdr:sp macro="" textlink="">
      <xdr:nvSpPr>
        <xdr:cNvPr id="84994" name="Graphical">
          <a:extLst>
            <a:ext uri="{FF2B5EF4-FFF2-40B4-BE49-F238E27FC236}">
              <a16:creationId xmlns:a16="http://schemas.microsoft.com/office/drawing/2014/main" id="{00000000-0008-0000-0600-0000024C0100}"/>
            </a:ext>
          </a:extLst>
        </xdr:cNvPr>
        <xdr:cNvSpPr txBox="1">
          <a:spLocks noChangeArrowheads="1"/>
        </xdr:cNvSpPr>
      </xdr:nvSpPr>
      <xdr:spPr bwMode="auto">
        <a:xfrm>
          <a:off x="7517340" y="912283"/>
          <a:ext cx="4914900" cy="1027642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Graphical</a:t>
          </a:r>
          <a:endParaRPr lang="en-ZA" sz="1000" b="0" i="0" u="none" strike="noStrike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This displays the number of plays against the amount remaining (ie Credit + Cash). The scales and the xy axis intersection can be adjused using the </a:t>
          </a:r>
          <a:r>
            <a:rPr lang="en-ZA" sz="10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Up Down</a:t>
          </a:r>
          <a:r>
            <a:rPr lang="en-ZA" sz="10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buttons. The </a:t>
          </a:r>
          <a:r>
            <a:rPr lang="en-ZA" sz="10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Max</a:t>
          </a:r>
          <a:r>
            <a:rPr lang="en-ZA" sz="10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button auto adjusts the scale. A maximum of 3000 plays will be displayed. </a:t>
          </a:r>
          <a:r>
            <a:rPr lang="en-ZA" sz="10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Reset</a:t>
          </a:r>
          <a:r>
            <a:rPr lang="en-ZA" sz="10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causes the scale to revert to the default.</a:t>
          </a:r>
        </a:p>
        <a:p>
          <a:pPr algn="l" rtl="0">
            <a:defRPr sz="1000"/>
          </a:pPr>
          <a:r>
            <a:rPr lang="en-ZA" sz="1000" b="0" i="0" u="none" strike="noStrike" baseline="0">
              <a:solidFill>
                <a:srgbClr val="FFFF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 editAs="absolute">
    <xdr:from>
      <xdr:col>6</xdr:col>
      <xdr:colOff>236007</xdr:colOff>
      <xdr:row>6</xdr:row>
      <xdr:rowOff>217790</xdr:rowOff>
    </xdr:from>
    <xdr:to>
      <xdr:col>15</xdr:col>
      <xdr:colOff>388407</xdr:colOff>
      <xdr:row>9</xdr:row>
      <xdr:rowOff>43165</xdr:rowOff>
    </xdr:to>
    <xdr:sp macro="" textlink="">
      <xdr:nvSpPr>
        <xdr:cNvPr id="84995" name="Probabilities">
          <a:extLst>
            <a:ext uri="{FF2B5EF4-FFF2-40B4-BE49-F238E27FC236}">
              <a16:creationId xmlns:a16="http://schemas.microsoft.com/office/drawing/2014/main" id="{00000000-0008-0000-0600-0000034C0100}"/>
            </a:ext>
          </a:extLst>
        </xdr:cNvPr>
        <xdr:cNvSpPr txBox="1">
          <a:spLocks noChangeArrowheads="1"/>
        </xdr:cNvSpPr>
      </xdr:nvSpPr>
      <xdr:spPr bwMode="auto">
        <a:xfrm>
          <a:off x="7517340" y="2059290"/>
          <a:ext cx="4914900" cy="1127125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Probabilities</a:t>
          </a:r>
          <a:endParaRPr lang="en-ZA" sz="1000" b="0" i="0" u="none" strike="noStrike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ZA" sz="105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This displays the probability of winning a particular hand showing how often a particular hand should on average occur and its contribution to the total</a:t>
          </a:r>
          <a:r>
            <a:rPr lang="en-ZA" sz="1000" b="0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. </a:t>
          </a:r>
        </a:p>
        <a:p>
          <a:pPr algn="l" rtl="0">
            <a:defRPr sz="1000"/>
          </a:pPr>
          <a:endParaRPr lang="en-ZA" sz="1000" b="0" i="0" u="none" strike="noStrike" baseline="0">
            <a:solidFill>
              <a:srgbClr val="FFFF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rgbClr val="FFFF00"/>
            </a:solidFill>
            <a:latin typeface="Times New Roman"/>
            <a:cs typeface="Times New Roman"/>
          </a:endParaRPr>
        </a:p>
      </xdr:txBody>
    </xdr:sp>
    <xdr:clientData/>
  </xdr:twoCellAnchor>
  <xdr:twoCellAnchor editAs="absolute">
    <xdr:from>
      <xdr:col>6</xdr:col>
      <xdr:colOff>236007</xdr:colOff>
      <xdr:row>26</xdr:row>
      <xdr:rowOff>420157</xdr:rowOff>
    </xdr:from>
    <xdr:to>
      <xdr:col>15</xdr:col>
      <xdr:colOff>312207</xdr:colOff>
      <xdr:row>30</xdr:row>
      <xdr:rowOff>153986</xdr:rowOff>
    </xdr:to>
    <xdr:sp macro="" textlink="">
      <xdr:nvSpPr>
        <xdr:cNvPr id="84996" name="Text 4">
          <a:extLst>
            <a:ext uri="{FF2B5EF4-FFF2-40B4-BE49-F238E27FC236}">
              <a16:creationId xmlns:a16="http://schemas.microsoft.com/office/drawing/2014/main" id="{00000000-0008-0000-0600-0000044C0100}"/>
            </a:ext>
          </a:extLst>
        </xdr:cNvPr>
        <xdr:cNvSpPr txBox="1">
          <a:spLocks noChangeArrowheads="1"/>
        </xdr:cNvSpPr>
      </xdr:nvSpPr>
      <xdr:spPr bwMode="auto">
        <a:xfrm>
          <a:off x="7517340" y="9966324"/>
          <a:ext cx="4838700" cy="1194329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Winning Hands"/>
            </a:rPr>
            <a:t>Winning Hands</a:t>
          </a:r>
          <a:endParaRPr lang="en-ZA" sz="1000" b="0" i="0" u="none" strike="noStrike" baseline="0">
            <a:solidFill>
              <a:schemeClr val="tx1"/>
            </a:solidFill>
            <a:latin typeface="Winning Hands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Winning Hands"/>
          </a:endParaRPr>
        </a:p>
        <a:p>
          <a:pPr algn="l" rtl="0"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Winning Hands"/>
            </a:rPr>
            <a:t>This shows the number of wins and the amount per hand type since the last </a:t>
          </a:r>
          <a:r>
            <a:rPr lang="en-ZA" sz="1000" b="1" i="0" u="none" strike="noStrike" baseline="0">
              <a:solidFill>
                <a:schemeClr val="tx1"/>
              </a:solidFill>
              <a:latin typeface="Winning Hands"/>
            </a:rPr>
            <a:t>Reset</a:t>
          </a:r>
          <a:r>
            <a:rPr lang="en-ZA" sz="1000" b="0" i="0" u="none" strike="noStrike" baseline="0">
              <a:solidFill>
                <a:schemeClr val="tx1"/>
              </a:solidFill>
              <a:latin typeface="Winning Hands"/>
            </a:rPr>
            <a:t>. It also displays the expected number of wins and amount based on the </a:t>
          </a:r>
          <a:r>
            <a:rPr lang="en-ZA" sz="1000" b="1" i="0" u="none" strike="noStrike" baseline="0">
              <a:solidFill>
                <a:schemeClr val="tx1"/>
              </a:solidFill>
              <a:latin typeface="Winning Hands"/>
            </a:rPr>
            <a:t>Probability </a:t>
          </a:r>
          <a:r>
            <a:rPr lang="en-ZA" sz="1000" b="0" i="0" u="none" strike="noStrike" baseline="0">
              <a:solidFill>
                <a:schemeClr val="tx1"/>
              </a:solidFill>
              <a:latin typeface="Winning Hands"/>
            </a:rPr>
            <a:t>table and the resultant accuracy. </a:t>
          </a:r>
        </a:p>
        <a:p>
          <a:pPr algn="l" rtl="0">
            <a:defRPr sz="1000"/>
          </a:pPr>
          <a:endParaRPr lang="en-ZA" sz="1000" b="0" i="0" u="none" strike="noStrike" baseline="0">
            <a:solidFill>
              <a:srgbClr val="FFFF00"/>
            </a:solidFill>
            <a:latin typeface="Winning Hands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rgbClr val="FFFF00"/>
            </a:solidFill>
            <a:latin typeface="Winning Hands"/>
          </a:endParaRPr>
        </a:p>
      </xdr:txBody>
    </xdr:sp>
    <xdr:clientData/>
  </xdr:twoCellAnchor>
  <xdr:twoCellAnchor editAs="absolute">
    <xdr:from>
      <xdr:col>6</xdr:col>
      <xdr:colOff>236007</xdr:colOff>
      <xdr:row>19</xdr:row>
      <xdr:rowOff>225880</xdr:rowOff>
    </xdr:from>
    <xdr:to>
      <xdr:col>15</xdr:col>
      <xdr:colOff>350307</xdr:colOff>
      <xdr:row>22</xdr:row>
      <xdr:rowOff>198892</xdr:rowOff>
    </xdr:to>
    <xdr:sp macro="" textlink="">
      <xdr:nvSpPr>
        <xdr:cNvPr id="84997" name="Text 5">
          <a:extLst>
            <a:ext uri="{FF2B5EF4-FFF2-40B4-BE49-F238E27FC236}">
              <a16:creationId xmlns:a16="http://schemas.microsoft.com/office/drawing/2014/main" id="{00000000-0008-0000-0600-0000054C0100}"/>
            </a:ext>
          </a:extLst>
        </xdr:cNvPr>
        <xdr:cNvSpPr txBox="1">
          <a:spLocks noChangeArrowheads="1"/>
        </xdr:cNvSpPr>
      </xdr:nvSpPr>
      <xdr:spPr bwMode="auto">
        <a:xfrm>
          <a:off x="7517340" y="7189713"/>
          <a:ext cx="4876800" cy="1264179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Schedule"/>
            </a:rPr>
            <a:t>Schedule</a:t>
          </a:r>
          <a:endParaRPr lang="en-ZA" sz="1000" b="0" i="0" u="none" strike="noStrike" baseline="0">
            <a:solidFill>
              <a:schemeClr val="tx1"/>
            </a:solidFill>
            <a:latin typeface="Schedule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Schedule"/>
          </a:endParaRPr>
        </a:p>
        <a:p>
          <a:pPr algn="l" rtl="0"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Schedule"/>
            </a:rPr>
            <a:t>This shows the payout schedule for various game types. Joker Wild schedule is accessed via the </a:t>
          </a:r>
          <a:r>
            <a:rPr lang="en-ZA" sz="1000" b="1" i="0" u="none" strike="noStrike" baseline="0">
              <a:solidFill>
                <a:schemeClr val="tx1"/>
              </a:solidFill>
              <a:latin typeface="Schedule"/>
            </a:rPr>
            <a:t>Goto</a:t>
          </a:r>
          <a:r>
            <a:rPr lang="en-ZA" sz="1000" b="0" i="0" u="none" strike="noStrike" baseline="0">
              <a:solidFill>
                <a:schemeClr val="tx1"/>
              </a:solidFill>
              <a:latin typeface="Schedule"/>
            </a:rPr>
            <a:t> button. It also shows the Kicker payout. The </a:t>
          </a:r>
          <a:r>
            <a:rPr lang="en-ZA" sz="1000" b="1" i="0" u="none" strike="noStrike" baseline="0">
              <a:solidFill>
                <a:schemeClr val="tx1"/>
              </a:solidFill>
              <a:latin typeface="Schedule"/>
            </a:rPr>
            <a:t>%Payout</a:t>
          </a:r>
          <a:r>
            <a:rPr lang="en-ZA" sz="1000" b="0" i="0" u="none" strike="noStrike" baseline="0">
              <a:solidFill>
                <a:schemeClr val="tx1"/>
              </a:solidFill>
              <a:latin typeface="Schedule"/>
            </a:rPr>
            <a:t> quoted is that obtained from other sources. The calculated payout is that produced using my method. The payout values may be adjusted and </a:t>
          </a:r>
          <a:r>
            <a:rPr lang="en-ZA" sz="1000" b="1" i="0" u="none" strike="noStrike" baseline="0">
              <a:solidFill>
                <a:schemeClr val="tx1"/>
              </a:solidFill>
              <a:latin typeface="Schedule"/>
            </a:rPr>
            <a:t>Calculate</a:t>
          </a:r>
          <a:r>
            <a:rPr lang="en-ZA" sz="1000" b="0" i="0" u="none" strike="noStrike" baseline="0">
              <a:solidFill>
                <a:schemeClr val="tx1"/>
              </a:solidFill>
              <a:latin typeface="Schedule"/>
            </a:rPr>
            <a:t> pressed to see the effect on the %Payout.</a:t>
          </a:r>
        </a:p>
      </xdr:txBody>
    </xdr:sp>
    <xdr:clientData/>
  </xdr:twoCellAnchor>
  <xdr:twoCellAnchor editAs="absolute">
    <xdr:from>
      <xdr:col>6</xdr:col>
      <xdr:colOff>236007</xdr:colOff>
      <xdr:row>9</xdr:row>
      <xdr:rowOff>162530</xdr:rowOff>
    </xdr:from>
    <xdr:to>
      <xdr:col>15</xdr:col>
      <xdr:colOff>388407</xdr:colOff>
      <xdr:row>11</xdr:row>
      <xdr:rowOff>318635</xdr:rowOff>
    </xdr:to>
    <xdr:sp macro="" textlink="">
      <xdr:nvSpPr>
        <xdr:cNvPr id="84998" name="Text 6">
          <a:extLst>
            <a:ext uri="{FF2B5EF4-FFF2-40B4-BE49-F238E27FC236}">
              <a16:creationId xmlns:a16="http://schemas.microsoft.com/office/drawing/2014/main" id="{00000000-0008-0000-0600-0000064C0100}"/>
            </a:ext>
          </a:extLst>
        </xdr:cNvPr>
        <xdr:cNvSpPr txBox="1">
          <a:spLocks noChangeArrowheads="1"/>
        </xdr:cNvSpPr>
      </xdr:nvSpPr>
      <xdr:spPr bwMode="auto">
        <a:xfrm>
          <a:off x="7517340" y="3305780"/>
          <a:ext cx="4914900" cy="1203855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Deck View"/>
            </a:rPr>
            <a:t>Deck View</a:t>
          </a:r>
          <a:endParaRPr lang="en-ZA" sz="1000" b="0" i="0" u="none" strike="noStrike" baseline="0">
            <a:solidFill>
              <a:schemeClr val="tx1"/>
            </a:solidFill>
            <a:latin typeface="Deck View"/>
          </a:endParaRPr>
        </a:p>
        <a:p>
          <a:pPr algn="l" rtl="0">
            <a:lnSpc>
              <a:spcPts val="1100"/>
            </a:lnSpc>
            <a:defRPr sz="1000"/>
          </a:pPr>
          <a:endParaRPr lang="en-ZA" sz="1000" b="0" i="0" u="none" strike="noStrike" baseline="0">
            <a:solidFill>
              <a:schemeClr val="tx1"/>
            </a:solidFill>
            <a:latin typeface="Deck View"/>
          </a:endParaRPr>
        </a:p>
        <a:p>
          <a:pPr algn="l" rtl="0">
            <a:lnSpc>
              <a:spcPts val="1000"/>
            </a:lnSpc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Deck View"/>
            </a:rPr>
            <a:t>This shows the shuffled deck so that the randomness could be viewed. If Joker Wild then the Joker card will be shown. Each suit can be turned on/off using the </a:t>
          </a:r>
          <a:r>
            <a:rPr lang="en-ZA" sz="1000" b="1" i="0" u="none" strike="noStrike" baseline="0">
              <a:solidFill>
                <a:schemeClr val="tx1"/>
              </a:solidFill>
              <a:latin typeface="Deck View"/>
            </a:rPr>
            <a:t>On/Off</a:t>
          </a:r>
          <a:r>
            <a:rPr lang="en-ZA" sz="1000" b="0" i="0" u="none" strike="noStrike" baseline="0">
              <a:solidFill>
                <a:schemeClr val="tx1"/>
              </a:solidFill>
              <a:latin typeface="Deck View"/>
            </a:rPr>
            <a:t> button.</a:t>
          </a:r>
        </a:p>
        <a:p>
          <a:pPr algn="l" rtl="0">
            <a:defRPr sz="1000"/>
          </a:pPr>
          <a:endParaRPr lang="en-ZA" sz="1000" b="0" i="0" u="none" strike="noStrike" baseline="0">
            <a:solidFill>
              <a:srgbClr val="FFFF00"/>
            </a:solidFill>
            <a:latin typeface="Deck View"/>
          </a:endParaRPr>
        </a:p>
      </xdr:txBody>
    </xdr:sp>
    <xdr:clientData/>
  </xdr:twoCellAnchor>
  <xdr:twoCellAnchor editAs="absolute">
    <xdr:from>
      <xdr:col>6</xdr:col>
      <xdr:colOff>236007</xdr:colOff>
      <xdr:row>12</xdr:row>
      <xdr:rowOff>99333</xdr:rowOff>
    </xdr:from>
    <xdr:to>
      <xdr:col>15</xdr:col>
      <xdr:colOff>393699</xdr:colOff>
      <xdr:row>15</xdr:row>
      <xdr:rowOff>48533</xdr:rowOff>
    </xdr:to>
    <xdr:sp macro="" textlink="">
      <xdr:nvSpPr>
        <xdr:cNvPr id="84999" name="Text 7">
          <a:extLst>
            <a:ext uri="{FF2B5EF4-FFF2-40B4-BE49-F238E27FC236}">
              <a16:creationId xmlns:a16="http://schemas.microsoft.com/office/drawing/2014/main" id="{00000000-0008-0000-0600-0000074C0100}"/>
            </a:ext>
          </a:extLst>
        </xdr:cNvPr>
        <xdr:cNvSpPr txBox="1">
          <a:spLocks noChangeArrowheads="1"/>
        </xdr:cNvSpPr>
      </xdr:nvSpPr>
      <xdr:spPr bwMode="auto">
        <a:xfrm>
          <a:off x="7517340" y="4629000"/>
          <a:ext cx="4920192" cy="1092200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View Cards"/>
            </a:rPr>
            <a:t>View Cards</a:t>
          </a:r>
          <a:endParaRPr lang="en-ZA" sz="1000" b="0" i="0" u="none" strike="noStrike" baseline="0">
            <a:solidFill>
              <a:schemeClr val="tx1"/>
            </a:solidFill>
            <a:latin typeface="View Cards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View Cards"/>
          </a:endParaRPr>
        </a:p>
        <a:p>
          <a:pPr algn="l" rtl="0"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View Cards"/>
            </a:rPr>
            <a:t>This shows the current hand and the next five cards in the deck</a:t>
          </a: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View Cards"/>
          </a:endParaRPr>
        </a:p>
      </xdr:txBody>
    </xdr:sp>
    <xdr:clientData/>
  </xdr:twoCellAnchor>
  <xdr:twoCellAnchor editAs="absolute">
    <xdr:from>
      <xdr:col>6</xdr:col>
      <xdr:colOff>236007</xdr:colOff>
      <xdr:row>16</xdr:row>
      <xdr:rowOff>9148</xdr:rowOff>
    </xdr:from>
    <xdr:to>
      <xdr:col>15</xdr:col>
      <xdr:colOff>393699</xdr:colOff>
      <xdr:row>19</xdr:row>
      <xdr:rowOff>106515</xdr:rowOff>
    </xdr:to>
    <xdr:sp macro="" textlink="">
      <xdr:nvSpPr>
        <xdr:cNvPr id="85000" name="Text 8">
          <a:extLst>
            <a:ext uri="{FF2B5EF4-FFF2-40B4-BE49-F238E27FC236}">
              <a16:creationId xmlns:a16="http://schemas.microsoft.com/office/drawing/2014/main" id="{00000000-0008-0000-0600-0000084C0100}"/>
            </a:ext>
          </a:extLst>
        </xdr:cNvPr>
        <xdr:cNvSpPr txBox="1">
          <a:spLocks noChangeArrowheads="1"/>
        </xdr:cNvSpPr>
      </xdr:nvSpPr>
      <xdr:spPr bwMode="auto">
        <a:xfrm>
          <a:off x="7517340" y="5840565"/>
          <a:ext cx="4920192" cy="1229783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Joker Wild Schedule"/>
            </a:rPr>
            <a:t>Joker Wild Payout Schedule</a:t>
          </a:r>
          <a:endParaRPr lang="en-ZA" sz="1000" b="0" i="0" u="none" strike="noStrike" baseline="0">
            <a:solidFill>
              <a:schemeClr val="tx1"/>
            </a:solidFill>
            <a:latin typeface="Joker Wild Schedule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Joker Wild Schedule"/>
          </a:endParaRPr>
        </a:p>
        <a:p>
          <a:pPr algn="l" rtl="0"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Joker Wild Schedule"/>
            </a:rPr>
            <a:t>This shows the Joker Wild payout schedule and the hand hierarchy used to determine the type of hand. Only the hand types in yellow text and green background will payout. </a:t>
          </a:r>
        </a:p>
        <a:p>
          <a:pPr algn="l" rtl="0">
            <a:defRPr sz="1000"/>
          </a:pPr>
          <a:endParaRPr lang="en-ZA" sz="1000" b="0" i="0" u="none" strike="noStrike" baseline="0">
            <a:solidFill>
              <a:srgbClr val="FFFF00"/>
            </a:solidFill>
            <a:latin typeface="Joker Wild Schedule"/>
          </a:endParaRPr>
        </a:p>
      </xdr:txBody>
    </xdr:sp>
    <xdr:clientData/>
  </xdr:twoCellAnchor>
  <xdr:twoCellAnchor editAs="absolute">
    <xdr:from>
      <xdr:col>6</xdr:col>
      <xdr:colOff>236007</xdr:colOff>
      <xdr:row>23</xdr:row>
      <xdr:rowOff>757</xdr:rowOff>
    </xdr:from>
    <xdr:to>
      <xdr:col>15</xdr:col>
      <xdr:colOff>312207</xdr:colOff>
      <xdr:row>26</xdr:row>
      <xdr:rowOff>300793</xdr:rowOff>
    </xdr:to>
    <xdr:sp macro="" textlink="">
      <xdr:nvSpPr>
        <xdr:cNvPr id="85001" name="Text 9">
          <a:extLst>
            <a:ext uri="{FF2B5EF4-FFF2-40B4-BE49-F238E27FC236}">
              <a16:creationId xmlns:a16="http://schemas.microsoft.com/office/drawing/2014/main" id="{00000000-0008-0000-0600-0000094C0100}"/>
            </a:ext>
          </a:extLst>
        </xdr:cNvPr>
        <xdr:cNvSpPr txBox="1">
          <a:spLocks noChangeArrowheads="1"/>
        </xdr:cNvSpPr>
      </xdr:nvSpPr>
      <xdr:spPr bwMode="auto">
        <a:xfrm>
          <a:off x="7517340" y="8573257"/>
          <a:ext cx="4838700" cy="1273703"/>
        </a:xfrm>
        <a:prstGeom prst="rect">
          <a:avLst/>
        </a:prstGeom>
        <a:solidFill>
          <a:schemeClr val="bg1">
            <a:lumMod val="95000"/>
          </a:schemeClr>
        </a:solidFill>
        <a:ln w="9525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ZA" sz="1000" b="1" i="0" u="none" strike="noStrike" baseline="0">
              <a:solidFill>
                <a:schemeClr val="tx1"/>
              </a:solidFill>
              <a:latin typeface="Hand Hold Strategy"/>
            </a:rPr>
            <a:t>Hand Hold Strategy</a:t>
          </a:r>
          <a:endParaRPr lang="en-ZA" sz="1000" b="0" i="0" u="none" strike="noStrike" baseline="0">
            <a:solidFill>
              <a:schemeClr val="tx1"/>
            </a:solidFill>
            <a:latin typeface="Hand Hold Strategy"/>
          </a:endParaRPr>
        </a:p>
        <a:p>
          <a:pPr algn="l" rtl="0">
            <a:defRPr sz="1000"/>
          </a:pPr>
          <a:endParaRPr lang="en-ZA" sz="1000" b="0" i="0" u="none" strike="noStrike" baseline="0">
            <a:solidFill>
              <a:schemeClr val="tx1"/>
            </a:solidFill>
            <a:latin typeface="Hand Hold Strategy"/>
          </a:endParaRPr>
        </a:p>
        <a:p>
          <a:pPr algn="l" rtl="0">
            <a:defRPr sz="1000"/>
          </a:pPr>
          <a:r>
            <a:rPr lang="en-ZA" sz="1000" b="0" i="0" u="none" strike="noStrike" baseline="0">
              <a:solidFill>
                <a:schemeClr val="tx1"/>
              </a:solidFill>
              <a:latin typeface="Hand Hold Strategy"/>
            </a:rPr>
            <a:t>This shows the hand holding strategy in </a:t>
          </a:r>
          <a:r>
            <a:rPr lang="en-ZA" sz="1000" b="1" i="0" u="none" strike="noStrike" baseline="0">
              <a:solidFill>
                <a:schemeClr val="tx1"/>
              </a:solidFill>
              <a:latin typeface="Hand Hold Strategy"/>
            </a:rPr>
            <a:t>Auto Hold</a:t>
          </a:r>
          <a:r>
            <a:rPr lang="en-ZA" sz="1000" b="0" i="0" u="none" strike="noStrike" baseline="0">
              <a:solidFill>
                <a:schemeClr val="tx1"/>
              </a:solidFill>
              <a:latin typeface="Hand Hold Strategy"/>
            </a:rPr>
            <a:t> mode. The </a:t>
          </a:r>
          <a:r>
            <a:rPr lang="en-ZA" sz="1000" b="1" i="0" u="none" strike="noStrike" baseline="0">
              <a:solidFill>
                <a:schemeClr val="tx1"/>
              </a:solidFill>
              <a:latin typeface="Hand Hold Strategy"/>
            </a:rPr>
            <a:t>Up</a:t>
          </a:r>
          <a:r>
            <a:rPr lang="en-ZA" sz="1000" b="0" i="0" u="none" strike="noStrike" baseline="0">
              <a:solidFill>
                <a:schemeClr val="tx1"/>
              </a:solidFill>
              <a:latin typeface="Hand Hold Strategy"/>
            </a:rPr>
            <a:t> and </a:t>
          </a:r>
          <a:r>
            <a:rPr lang="en-ZA" sz="1000" b="1" i="0" u="none" strike="noStrike" baseline="0">
              <a:solidFill>
                <a:schemeClr val="tx1"/>
              </a:solidFill>
              <a:latin typeface="Hand Hold Strategy"/>
            </a:rPr>
            <a:t>Down</a:t>
          </a:r>
          <a:r>
            <a:rPr lang="en-ZA" sz="1000" b="0" i="0" u="none" strike="noStrike" baseline="0">
              <a:solidFill>
                <a:schemeClr val="tx1"/>
              </a:solidFill>
              <a:latin typeface="Hand Hold Strategy"/>
            </a:rPr>
            <a:t> buttons allow a particular hand to be raised or lowered in the hierarchy. Select the particular hand and click up or down. The </a:t>
          </a:r>
          <a:r>
            <a:rPr lang="en-ZA" sz="1000" b="1" i="0" u="none" strike="noStrike" baseline="0">
              <a:solidFill>
                <a:schemeClr val="tx1"/>
              </a:solidFill>
              <a:latin typeface="Hand Hold Strategy"/>
            </a:rPr>
            <a:t>Default</a:t>
          </a:r>
          <a:r>
            <a:rPr lang="en-ZA" sz="1000" b="0" i="0" u="none" strike="noStrike" baseline="0">
              <a:solidFill>
                <a:schemeClr val="tx1"/>
              </a:solidFill>
              <a:latin typeface="Hand Hold Strategy"/>
            </a:rPr>
            <a:t> button causes the strategy to revert back to default (as per the numbers). Only hands in yellow text and green background will payout.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28575</xdr:rowOff>
        </xdr:from>
        <xdr:to>
          <xdr:col>4</xdr:col>
          <xdr:colOff>866775</xdr:colOff>
          <xdr:row>0</xdr:row>
          <xdr:rowOff>209550</xdr:rowOff>
        </xdr:to>
        <xdr:sp macro="" textlink="">
          <xdr:nvSpPr>
            <xdr:cNvPr id="85002" name="Button 10" hidden="1">
              <a:extLst>
                <a:ext uri="{63B3BB69-23CF-44E3-9099-C40C66FF867C}">
                  <a14:compatExt spid="_x0000_s85002"/>
                </a:ext>
                <a:ext uri="{FF2B5EF4-FFF2-40B4-BE49-F238E27FC236}">
                  <a16:creationId xmlns:a16="http://schemas.microsoft.com/office/drawing/2014/main" id="{00000000-0008-0000-0600-00000A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</xdr:row>
          <xdr:rowOff>9525</xdr:rowOff>
        </xdr:from>
        <xdr:to>
          <xdr:col>4</xdr:col>
          <xdr:colOff>1000125</xdr:colOff>
          <xdr:row>3</xdr:row>
          <xdr:rowOff>0</xdr:rowOff>
        </xdr:to>
        <xdr:sp macro="" textlink="">
          <xdr:nvSpPr>
            <xdr:cNvPr id="85003" name="Hold Strategy" hidden="1">
              <a:extLst>
                <a:ext uri="{63B3BB69-23CF-44E3-9099-C40C66FF867C}">
                  <a14:compatExt spid="_x0000_s85003"/>
                </a:ext>
                <a:ext uri="{FF2B5EF4-FFF2-40B4-BE49-F238E27FC236}">
                  <a16:creationId xmlns:a16="http://schemas.microsoft.com/office/drawing/2014/main" id="{00000000-0008-0000-0600-00000B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 Strategy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19050</xdr:rowOff>
        </xdr:from>
        <xdr:to>
          <xdr:col>4</xdr:col>
          <xdr:colOff>1000125</xdr:colOff>
          <xdr:row>10</xdr:row>
          <xdr:rowOff>180975</xdr:rowOff>
        </xdr:to>
        <xdr:sp macro="" textlink="">
          <xdr:nvSpPr>
            <xdr:cNvPr id="85004" name="Button 12" hidden="1">
              <a:extLst>
                <a:ext uri="{63B3BB69-23CF-44E3-9099-C40C66FF867C}">
                  <a14:compatExt spid="_x0000_s85004"/>
                </a:ext>
                <a:ext uri="{FF2B5EF4-FFF2-40B4-BE49-F238E27FC236}">
                  <a16:creationId xmlns:a16="http://schemas.microsoft.com/office/drawing/2014/main" id="{00000000-0008-0000-0600-00000C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Payout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219075</xdr:rowOff>
        </xdr:from>
        <xdr:to>
          <xdr:col>4</xdr:col>
          <xdr:colOff>1000125</xdr:colOff>
          <xdr:row>10</xdr:row>
          <xdr:rowOff>381000</xdr:rowOff>
        </xdr:to>
        <xdr:sp macro="" textlink="">
          <xdr:nvSpPr>
            <xdr:cNvPr id="85005" name="Button 13" hidden="1">
              <a:extLst>
                <a:ext uri="{63B3BB69-23CF-44E3-9099-C40C66FF867C}">
                  <a14:compatExt spid="_x0000_s85005"/>
                </a:ext>
                <a:ext uri="{FF2B5EF4-FFF2-40B4-BE49-F238E27FC236}">
                  <a16:creationId xmlns:a16="http://schemas.microsoft.com/office/drawing/2014/main" id="{00000000-0008-0000-0600-00000D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Joker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19050</xdr:rowOff>
        </xdr:from>
        <xdr:to>
          <xdr:col>4</xdr:col>
          <xdr:colOff>981075</xdr:colOff>
          <xdr:row>11</xdr:row>
          <xdr:rowOff>219075</xdr:rowOff>
        </xdr:to>
        <xdr:sp macro="" textlink="">
          <xdr:nvSpPr>
            <xdr:cNvPr id="85006" name="Button 14" hidden="1">
              <a:extLst>
                <a:ext uri="{63B3BB69-23CF-44E3-9099-C40C66FF867C}">
                  <a14:compatExt spid="_x0000_s85006"/>
                </a:ext>
                <a:ext uri="{FF2B5EF4-FFF2-40B4-BE49-F238E27FC236}">
                  <a16:creationId xmlns:a16="http://schemas.microsoft.com/office/drawing/2014/main" id="{00000000-0008-0000-0600-00000E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Graphical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13</xdr:row>
          <xdr:rowOff>0</xdr:rowOff>
        </xdr:from>
        <xdr:to>
          <xdr:col>4</xdr:col>
          <xdr:colOff>981075</xdr:colOff>
          <xdr:row>13</xdr:row>
          <xdr:rowOff>161925</xdr:rowOff>
        </xdr:to>
        <xdr:sp macro="" textlink="">
          <xdr:nvSpPr>
            <xdr:cNvPr id="85007" name="Button 15" hidden="1">
              <a:extLst>
                <a:ext uri="{63B3BB69-23CF-44E3-9099-C40C66FF867C}">
                  <a14:compatExt spid="_x0000_s85007"/>
                </a:ext>
                <a:ext uri="{FF2B5EF4-FFF2-40B4-BE49-F238E27FC236}">
                  <a16:creationId xmlns:a16="http://schemas.microsoft.com/office/drawing/2014/main" id="{00000000-0008-0000-0600-00000F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Winning Hands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16</xdr:row>
          <xdr:rowOff>9525</xdr:rowOff>
        </xdr:from>
        <xdr:to>
          <xdr:col>4</xdr:col>
          <xdr:colOff>990600</xdr:colOff>
          <xdr:row>16</xdr:row>
          <xdr:rowOff>200025</xdr:rowOff>
        </xdr:to>
        <xdr:sp macro="" textlink="">
          <xdr:nvSpPr>
            <xdr:cNvPr id="85008" name="Button 16" hidden="1">
              <a:extLst>
                <a:ext uri="{63B3BB69-23CF-44E3-9099-C40C66FF867C}">
                  <a14:compatExt spid="_x0000_s85008"/>
                </a:ext>
                <a:ext uri="{FF2B5EF4-FFF2-40B4-BE49-F238E27FC236}">
                  <a16:creationId xmlns:a16="http://schemas.microsoft.com/office/drawing/2014/main" id="{00000000-0008-0000-0600-000010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Hold Strategy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4</xdr:col>
          <xdr:colOff>1000125</xdr:colOff>
          <xdr:row>23</xdr:row>
          <xdr:rowOff>161925</xdr:rowOff>
        </xdr:to>
        <xdr:sp macro="" textlink="">
          <xdr:nvSpPr>
            <xdr:cNvPr id="85009" name="Button 17" hidden="1">
              <a:extLst>
                <a:ext uri="{63B3BB69-23CF-44E3-9099-C40C66FF867C}">
                  <a14:compatExt spid="_x0000_s85009"/>
                </a:ext>
                <a:ext uri="{FF2B5EF4-FFF2-40B4-BE49-F238E27FC236}">
                  <a16:creationId xmlns:a16="http://schemas.microsoft.com/office/drawing/2014/main" id="{00000000-0008-0000-0600-00001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Probability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25</xdr:row>
          <xdr:rowOff>0</xdr:rowOff>
        </xdr:from>
        <xdr:to>
          <xdr:col>4</xdr:col>
          <xdr:colOff>990600</xdr:colOff>
          <xdr:row>25</xdr:row>
          <xdr:rowOff>161925</xdr:rowOff>
        </xdr:to>
        <xdr:sp macro="" textlink="">
          <xdr:nvSpPr>
            <xdr:cNvPr id="85010" name="Button 18" hidden="1">
              <a:extLst>
                <a:ext uri="{63B3BB69-23CF-44E3-9099-C40C66FF867C}">
                  <a14:compatExt spid="_x0000_s85010"/>
                </a:ext>
                <a:ext uri="{FF2B5EF4-FFF2-40B4-BE49-F238E27FC236}">
                  <a16:creationId xmlns:a16="http://schemas.microsoft.com/office/drawing/2014/main" id="{00000000-0008-0000-0600-00001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Payout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28</xdr:row>
          <xdr:rowOff>0</xdr:rowOff>
        </xdr:from>
        <xdr:to>
          <xdr:col>4</xdr:col>
          <xdr:colOff>990600</xdr:colOff>
          <xdr:row>28</xdr:row>
          <xdr:rowOff>180975</xdr:rowOff>
        </xdr:to>
        <xdr:sp macro="" textlink="">
          <xdr:nvSpPr>
            <xdr:cNvPr id="85011" name="Button 19" hidden="1">
              <a:extLst>
                <a:ext uri="{63B3BB69-23CF-44E3-9099-C40C66FF867C}">
                  <a14:compatExt spid="_x0000_s85011"/>
                </a:ext>
                <a:ext uri="{FF2B5EF4-FFF2-40B4-BE49-F238E27FC236}">
                  <a16:creationId xmlns:a16="http://schemas.microsoft.com/office/drawing/2014/main" id="{00000000-0008-0000-0600-00001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Next 5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27</xdr:row>
          <xdr:rowOff>0</xdr:rowOff>
        </xdr:from>
        <xdr:to>
          <xdr:col>4</xdr:col>
          <xdr:colOff>990600</xdr:colOff>
          <xdr:row>27</xdr:row>
          <xdr:rowOff>200025</xdr:rowOff>
        </xdr:to>
        <xdr:sp macro="" textlink="">
          <xdr:nvSpPr>
            <xdr:cNvPr id="85012" name="Button 20" hidden="1">
              <a:extLst>
                <a:ext uri="{63B3BB69-23CF-44E3-9099-C40C66FF867C}">
                  <a14:compatExt spid="_x0000_s85012"/>
                </a:ext>
                <a:ext uri="{FF2B5EF4-FFF2-40B4-BE49-F238E27FC236}">
                  <a16:creationId xmlns:a16="http://schemas.microsoft.com/office/drawing/2014/main" id="{00000000-0008-0000-0600-00001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Deck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112</xdr:row>
          <xdr:rowOff>133350</xdr:rowOff>
        </xdr:from>
        <xdr:to>
          <xdr:col>12</xdr:col>
          <xdr:colOff>19050</xdr:colOff>
          <xdr:row>114</xdr:row>
          <xdr:rowOff>9525</xdr:rowOff>
        </xdr:to>
        <xdr:sp macro="" textlink="">
          <xdr:nvSpPr>
            <xdr:cNvPr id="85019" name="Button 27" hidden="1">
              <a:extLst>
                <a:ext uri="{63B3BB69-23CF-44E3-9099-C40C66FF867C}">
                  <a14:compatExt spid="_x0000_s85019"/>
                </a:ext>
                <a:ext uri="{FF2B5EF4-FFF2-40B4-BE49-F238E27FC236}">
                  <a16:creationId xmlns:a16="http://schemas.microsoft.com/office/drawing/2014/main" id="{00000000-0008-0000-0600-00001B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2</xdr:row>
          <xdr:rowOff>95250</xdr:rowOff>
        </xdr:from>
        <xdr:to>
          <xdr:col>11</xdr:col>
          <xdr:colOff>323850</xdr:colOff>
          <xdr:row>3</xdr:row>
          <xdr:rowOff>0</xdr:rowOff>
        </xdr:to>
        <xdr:sp macro="" textlink="">
          <xdr:nvSpPr>
            <xdr:cNvPr id="85025" name="Button 33" hidden="1">
              <a:extLst>
                <a:ext uri="{63B3BB69-23CF-44E3-9099-C40C66FF867C}">
                  <a14:compatExt spid="_x0000_s85025"/>
                </a:ext>
                <a:ext uri="{FF2B5EF4-FFF2-40B4-BE49-F238E27FC236}">
                  <a16:creationId xmlns:a16="http://schemas.microsoft.com/office/drawing/2014/main" id="{00000000-0008-0000-0600-00002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9525</xdr:colOff>
      <xdr:row>0</xdr:row>
      <xdr:rowOff>76200</xdr:rowOff>
    </xdr:from>
    <xdr:to>
      <xdr:col>54</xdr:col>
      <xdr:colOff>13200</xdr:colOff>
      <xdr:row>9</xdr:row>
      <xdr:rowOff>57150</xdr:rowOff>
    </xdr:to>
    <xdr:sp macro="" textlink="">
      <xdr:nvSpPr>
        <xdr:cNvPr id="205" name="Rectangle 64702">
          <a:extLst>
            <a:ext uri="{FF2B5EF4-FFF2-40B4-BE49-F238E27FC236}">
              <a16:creationId xmlns:a16="http://schemas.microsoft.com/office/drawing/2014/main" id="{00000000-0008-0000-0800-0000CD000000}"/>
            </a:ext>
          </a:extLst>
        </xdr:cNvPr>
        <xdr:cNvSpPr>
          <a:spLocks noChangeArrowheads="1"/>
        </xdr:cNvSpPr>
      </xdr:nvSpPr>
      <xdr:spPr bwMode="auto">
        <a:xfrm>
          <a:off x="13096875" y="76200"/>
          <a:ext cx="1080000" cy="15049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 editAs="absolute">
    <xdr:from>
      <xdr:col>0</xdr:col>
      <xdr:colOff>333375</xdr:colOff>
      <xdr:row>0</xdr:row>
      <xdr:rowOff>47625</xdr:rowOff>
    </xdr:from>
    <xdr:to>
      <xdr:col>2</xdr:col>
      <xdr:colOff>361950</xdr:colOff>
      <xdr:row>9</xdr:row>
      <xdr:rowOff>35625</xdr:rowOff>
    </xdr:to>
    <xdr:pic>
      <xdr:nvPicPr>
        <xdr:cNvPr id="86031" name="Card 1">
          <a:extLst>
            <a:ext uri="{FF2B5EF4-FFF2-40B4-BE49-F238E27FC236}">
              <a16:creationId xmlns:a16="http://schemas.microsoft.com/office/drawing/2014/main" id="{00000000-0008-0000-0800-00000F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47625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2</xdr:col>
      <xdr:colOff>409575</xdr:colOff>
      <xdr:row>0</xdr:row>
      <xdr:rowOff>47625</xdr:rowOff>
    </xdr:from>
    <xdr:to>
      <xdr:col>4</xdr:col>
      <xdr:colOff>438150</xdr:colOff>
      <xdr:row>9</xdr:row>
      <xdr:rowOff>35625</xdr:rowOff>
    </xdr:to>
    <xdr:pic>
      <xdr:nvPicPr>
        <xdr:cNvPr id="86032" name="Card 3">
          <a:extLst>
            <a:ext uri="{FF2B5EF4-FFF2-40B4-BE49-F238E27FC236}">
              <a16:creationId xmlns:a16="http://schemas.microsoft.com/office/drawing/2014/main" id="{00000000-0008-0000-0800-000010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7625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4</xdr:col>
      <xdr:colOff>485775</xdr:colOff>
      <xdr:row>0</xdr:row>
      <xdr:rowOff>47625</xdr:rowOff>
    </xdr:from>
    <xdr:to>
      <xdr:col>6</xdr:col>
      <xdr:colOff>514350</xdr:colOff>
      <xdr:row>9</xdr:row>
      <xdr:rowOff>35625</xdr:rowOff>
    </xdr:to>
    <xdr:pic>
      <xdr:nvPicPr>
        <xdr:cNvPr id="86033" name="Card 2">
          <a:extLst>
            <a:ext uri="{FF2B5EF4-FFF2-40B4-BE49-F238E27FC236}">
              <a16:creationId xmlns:a16="http://schemas.microsoft.com/office/drawing/2014/main" id="{00000000-0008-0000-0800-000011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47625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7</xdr:col>
      <xdr:colOff>19050</xdr:colOff>
      <xdr:row>0</xdr:row>
      <xdr:rowOff>47625</xdr:rowOff>
    </xdr:from>
    <xdr:to>
      <xdr:col>9</xdr:col>
      <xdr:colOff>47625</xdr:colOff>
      <xdr:row>9</xdr:row>
      <xdr:rowOff>35625</xdr:rowOff>
    </xdr:to>
    <xdr:pic>
      <xdr:nvPicPr>
        <xdr:cNvPr id="86034" name="Card 4">
          <a:extLst>
            <a:ext uri="{FF2B5EF4-FFF2-40B4-BE49-F238E27FC236}">
              <a16:creationId xmlns:a16="http://schemas.microsoft.com/office/drawing/2014/main" id="{00000000-0008-0000-0800-000012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52850" y="47625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0</xdr:col>
      <xdr:colOff>333375</xdr:colOff>
      <xdr:row>10</xdr:row>
      <xdr:rowOff>9525</xdr:rowOff>
    </xdr:from>
    <xdr:to>
      <xdr:col>2</xdr:col>
      <xdr:colOff>361950</xdr:colOff>
      <xdr:row>19</xdr:row>
      <xdr:rowOff>7050</xdr:rowOff>
    </xdr:to>
    <xdr:pic>
      <xdr:nvPicPr>
        <xdr:cNvPr id="86035" name="Card 5">
          <a:extLst>
            <a:ext uri="{FF2B5EF4-FFF2-40B4-BE49-F238E27FC236}">
              <a16:creationId xmlns:a16="http://schemas.microsoft.com/office/drawing/2014/main" id="{00000000-0008-0000-0800-000013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160020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2</xdr:col>
      <xdr:colOff>409575</xdr:colOff>
      <xdr:row>10</xdr:row>
      <xdr:rowOff>9525</xdr:rowOff>
    </xdr:from>
    <xdr:to>
      <xdr:col>4</xdr:col>
      <xdr:colOff>438150</xdr:colOff>
      <xdr:row>19</xdr:row>
      <xdr:rowOff>7050</xdr:rowOff>
    </xdr:to>
    <xdr:pic>
      <xdr:nvPicPr>
        <xdr:cNvPr id="86036" name="Card 7">
          <a:extLst>
            <a:ext uri="{FF2B5EF4-FFF2-40B4-BE49-F238E27FC236}">
              <a16:creationId xmlns:a16="http://schemas.microsoft.com/office/drawing/2014/main" id="{00000000-0008-0000-0800-000014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160020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4</xdr:col>
      <xdr:colOff>485775</xdr:colOff>
      <xdr:row>10</xdr:row>
      <xdr:rowOff>9525</xdr:rowOff>
    </xdr:from>
    <xdr:to>
      <xdr:col>6</xdr:col>
      <xdr:colOff>514350</xdr:colOff>
      <xdr:row>19</xdr:row>
      <xdr:rowOff>7050</xdr:rowOff>
    </xdr:to>
    <xdr:pic>
      <xdr:nvPicPr>
        <xdr:cNvPr id="86037" name="Card 6">
          <a:extLst>
            <a:ext uri="{FF2B5EF4-FFF2-40B4-BE49-F238E27FC236}">
              <a16:creationId xmlns:a16="http://schemas.microsoft.com/office/drawing/2014/main" id="{00000000-0008-0000-0800-000015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60020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7</xdr:col>
      <xdr:colOff>19050</xdr:colOff>
      <xdr:row>10</xdr:row>
      <xdr:rowOff>9525</xdr:rowOff>
    </xdr:from>
    <xdr:to>
      <xdr:col>9</xdr:col>
      <xdr:colOff>47625</xdr:colOff>
      <xdr:row>19</xdr:row>
      <xdr:rowOff>7050</xdr:rowOff>
    </xdr:to>
    <xdr:pic>
      <xdr:nvPicPr>
        <xdr:cNvPr id="86038" name="Card 8">
          <a:extLst>
            <a:ext uri="{FF2B5EF4-FFF2-40B4-BE49-F238E27FC236}">
              <a16:creationId xmlns:a16="http://schemas.microsoft.com/office/drawing/2014/main" id="{00000000-0008-0000-0800-000016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52850" y="160020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0</xdr:col>
      <xdr:colOff>352425</xdr:colOff>
      <xdr:row>19</xdr:row>
      <xdr:rowOff>38100</xdr:rowOff>
    </xdr:from>
    <xdr:to>
      <xdr:col>2</xdr:col>
      <xdr:colOff>381000</xdr:colOff>
      <xdr:row>28</xdr:row>
      <xdr:rowOff>159450</xdr:rowOff>
    </xdr:to>
    <xdr:pic>
      <xdr:nvPicPr>
        <xdr:cNvPr id="86039" name="Card 9">
          <a:extLst>
            <a:ext uri="{FF2B5EF4-FFF2-40B4-BE49-F238E27FC236}">
              <a16:creationId xmlns:a16="http://schemas.microsoft.com/office/drawing/2014/main" id="{00000000-0008-0000-0800-000017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14325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2</xdr:col>
      <xdr:colOff>428625</xdr:colOff>
      <xdr:row>19</xdr:row>
      <xdr:rowOff>38100</xdr:rowOff>
    </xdr:from>
    <xdr:to>
      <xdr:col>4</xdr:col>
      <xdr:colOff>457200</xdr:colOff>
      <xdr:row>28</xdr:row>
      <xdr:rowOff>159450</xdr:rowOff>
    </xdr:to>
    <xdr:pic>
      <xdr:nvPicPr>
        <xdr:cNvPr id="86040" name="Card 11">
          <a:extLst>
            <a:ext uri="{FF2B5EF4-FFF2-40B4-BE49-F238E27FC236}">
              <a16:creationId xmlns:a16="http://schemas.microsoft.com/office/drawing/2014/main" id="{00000000-0008-0000-0800-000018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314325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4</xdr:col>
      <xdr:colOff>504825</xdr:colOff>
      <xdr:row>19</xdr:row>
      <xdr:rowOff>38100</xdr:rowOff>
    </xdr:from>
    <xdr:to>
      <xdr:col>7</xdr:col>
      <xdr:colOff>0</xdr:colOff>
      <xdr:row>28</xdr:row>
      <xdr:rowOff>159450</xdr:rowOff>
    </xdr:to>
    <xdr:pic>
      <xdr:nvPicPr>
        <xdr:cNvPr id="86041" name="Card 10">
          <a:extLst>
            <a:ext uri="{FF2B5EF4-FFF2-40B4-BE49-F238E27FC236}">
              <a16:creationId xmlns:a16="http://schemas.microsoft.com/office/drawing/2014/main" id="{00000000-0008-0000-0800-000019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5" y="314325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7</xdr:col>
      <xdr:colOff>38100</xdr:colOff>
      <xdr:row>19</xdr:row>
      <xdr:rowOff>38100</xdr:rowOff>
    </xdr:from>
    <xdr:to>
      <xdr:col>9</xdr:col>
      <xdr:colOff>66675</xdr:colOff>
      <xdr:row>28</xdr:row>
      <xdr:rowOff>159450</xdr:rowOff>
    </xdr:to>
    <xdr:pic>
      <xdr:nvPicPr>
        <xdr:cNvPr id="86042" name="Card 12">
          <a:extLst>
            <a:ext uri="{FF2B5EF4-FFF2-40B4-BE49-F238E27FC236}">
              <a16:creationId xmlns:a16="http://schemas.microsoft.com/office/drawing/2014/main" id="{00000000-0008-0000-0800-00001A5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1900" y="3143250"/>
          <a:ext cx="1095375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11</xdr:col>
      <xdr:colOff>219075</xdr:colOff>
      <xdr:row>11</xdr:row>
      <xdr:rowOff>123825</xdr:rowOff>
    </xdr:from>
    <xdr:to>
      <xdr:col>12</xdr:col>
      <xdr:colOff>133350</xdr:colOff>
      <xdr:row>13</xdr:row>
      <xdr:rowOff>38100</xdr:rowOff>
    </xdr:to>
    <xdr:pic>
      <xdr:nvPicPr>
        <xdr:cNvPr id="86551" name="club">
          <a:extLst>
            <a:ext uri="{FF2B5EF4-FFF2-40B4-BE49-F238E27FC236}">
              <a16:creationId xmlns:a16="http://schemas.microsoft.com/office/drawing/2014/main" id="{00000000-0008-0000-0800-000017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1905000"/>
          <a:ext cx="190500" cy="180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266700</xdr:colOff>
      <xdr:row>11</xdr:row>
      <xdr:rowOff>123825</xdr:rowOff>
    </xdr:from>
    <xdr:to>
      <xdr:col>14</xdr:col>
      <xdr:colOff>161925</xdr:colOff>
      <xdr:row>13</xdr:row>
      <xdr:rowOff>47625</xdr:rowOff>
    </xdr:to>
    <xdr:pic>
      <xdr:nvPicPr>
        <xdr:cNvPr id="86553" name="spade">
          <a:extLst>
            <a:ext uri="{FF2B5EF4-FFF2-40B4-BE49-F238E27FC236}">
              <a16:creationId xmlns:a16="http://schemas.microsoft.com/office/drawing/2014/main" id="{00000000-0008-0000-0800-000019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0300" y="1905000"/>
          <a:ext cx="17145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9525</xdr:colOff>
      <xdr:row>11</xdr:row>
      <xdr:rowOff>123825</xdr:rowOff>
    </xdr:from>
    <xdr:to>
      <xdr:col>15</xdr:col>
      <xdr:colOff>171450</xdr:colOff>
      <xdr:row>13</xdr:row>
      <xdr:rowOff>38100</xdr:rowOff>
    </xdr:to>
    <xdr:pic>
      <xdr:nvPicPr>
        <xdr:cNvPr id="86554" name="heart">
          <a:extLst>
            <a:ext uri="{FF2B5EF4-FFF2-40B4-BE49-F238E27FC236}">
              <a16:creationId xmlns:a16="http://schemas.microsoft.com/office/drawing/2014/main" id="{00000000-0008-0000-0800-00001A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5575" y="1905000"/>
          <a:ext cx="161925" cy="180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257175</xdr:colOff>
      <xdr:row>11</xdr:row>
      <xdr:rowOff>123825</xdr:rowOff>
    </xdr:from>
    <xdr:to>
      <xdr:col>13</xdr:col>
      <xdr:colOff>142875</xdr:colOff>
      <xdr:row>13</xdr:row>
      <xdr:rowOff>47625</xdr:rowOff>
    </xdr:to>
    <xdr:pic>
      <xdr:nvPicPr>
        <xdr:cNvPr id="86555" name="diamond">
          <a:extLst>
            <a:ext uri="{FF2B5EF4-FFF2-40B4-BE49-F238E27FC236}">
              <a16:creationId xmlns:a16="http://schemas.microsoft.com/office/drawing/2014/main" id="{00000000-0008-0000-0800-00001B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4550" y="1905000"/>
          <a:ext cx="16192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31</xdr:col>
      <xdr:colOff>38098</xdr:colOff>
      <xdr:row>0</xdr:row>
      <xdr:rowOff>28574</xdr:rowOff>
    </xdr:from>
    <xdr:to>
      <xdr:col>36</xdr:col>
      <xdr:colOff>41773</xdr:colOff>
      <xdr:row>9</xdr:row>
      <xdr:rowOff>16574</xdr:rowOff>
    </xdr:to>
    <xdr:pic>
      <xdr:nvPicPr>
        <xdr:cNvPr id="86576" name="Card Back 3">
          <a:extLst>
            <a:ext uri="{FF2B5EF4-FFF2-40B4-BE49-F238E27FC236}">
              <a16:creationId xmlns:a16="http://schemas.microsoft.com/office/drawing/2014/main" id="{00000000-0008-0000-0800-000030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398" y="2857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37</xdr:col>
      <xdr:colOff>14285</xdr:colOff>
      <xdr:row>0</xdr:row>
      <xdr:rowOff>28574</xdr:rowOff>
    </xdr:from>
    <xdr:to>
      <xdr:col>42</xdr:col>
      <xdr:colOff>17960</xdr:colOff>
      <xdr:row>9</xdr:row>
      <xdr:rowOff>16574</xdr:rowOff>
    </xdr:to>
    <xdr:pic>
      <xdr:nvPicPr>
        <xdr:cNvPr id="86577" name="Card Back 4">
          <a:extLst>
            <a:ext uri="{FF2B5EF4-FFF2-40B4-BE49-F238E27FC236}">
              <a16:creationId xmlns:a16="http://schemas.microsoft.com/office/drawing/2014/main" id="{00000000-0008-0000-0800-000031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06110" y="2857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42</xdr:col>
      <xdr:colOff>66674</xdr:colOff>
      <xdr:row>0</xdr:row>
      <xdr:rowOff>28574</xdr:rowOff>
    </xdr:from>
    <xdr:to>
      <xdr:col>48</xdr:col>
      <xdr:colOff>3674</xdr:colOff>
      <xdr:row>9</xdr:row>
      <xdr:rowOff>16574</xdr:rowOff>
    </xdr:to>
    <xdr:pic>
      <xdr:nvPicPr>
        <xdr:cNvPr id="86578" name="Card Back 5">
          <a:extLst>
            <a:ext uri="{FF2B5EF4-FFF2-40B4-BE49-F238E27FC236}">
              <a16:creationId xmlns:a16="http://schemas.microsoft.com/office/drawing/2014/main" id="{00000000-0008-0000-0800-000032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34824" y="2857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9</xdr:col>
      <xdr:colOff>142875</xdr:colOff>
      <xdr:row>0</xdr:row>
      <xdr:rowOff>57150</xdr:rowOff>
    </xdr:from>
    <xdr:to>
      <xdr:col>13</xdr:col>
      <xdr:colOff>95250</xdr:colOff>
      <xdr:row>9</xdr:row>
      <xdr:rowOff>23550</xdr:rowOff>
    </xdr:to>
    <xdr:pic>
      <xdr:nvPicPr>
        <xdr:cNvPr id="86580" name="Joker Card 1">
          <a:extLst>
            <a:ext uri="{FF2B5EF4-FFF2-40B4-BE49-F238E27FC236}">
              <a16:creationId xmlns:a16="http://schemas.microsoft.com/office/drawing/2014/main" id="{00000000-0008-0000-0800-0000345201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3475" y="57150"/>
          <a:ext cx="1095375" cy="1490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13</xdr:col>
      <xdr:colOff>209550</xdr:colOff>
      <xdr:row>0</xdr:row>
      <xdr:rowOff>57150</xdr:rowOff>
    </xdr:from>
    <xdr:to>
      <xdr:col>17</xdr:col>
      <xdr:colOff>161925</xdr:colOff>
      <xdr:row>8</xdr:row>
      <xdr:rowOff>9525</xdr:rowOff>
    </xdr:to>
    <xdr:pic>
      <xdr:nvPicPr>
        <xdr:cNvPr id="86583" name="Picture 567">
          <a:extLst>
            <a:ext uri="{FF2B5EF4-FFF2-40B4-BE49-F238E27FC236}">
              <a16:creationId xmlns:a16="http://schemas.microsoft.com/office/drawing/2014/main" id="{00000000-0008-0000-0800-000037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57150"/>
          <a:ext cx="10763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25</xdr:col>
      <xdr:colOff>61911</xdr:colOff>
      <xdr:row>0</xdr:row>
      <xdr:rowOff>28574</xdr:rowOff>
    </xdr:from>
    <xdr:to>
      <xdr:col>30</xdr:col>
      <xdr:colOff>65586</xdr:colOff>
      <xdr:row>9</xdr:row>
      <xdr:rowOff>16574</xdr:rowOff>
    </xdr:to>
    <xdr:pic>
      <xdr:nvPicPr>
        <xdr:cNvPr id="86586" name="Card Back 2">
          <a:extLst>
            <a:ext uri="{FF2B5EF4-FFF2-40B4-BE49-F238E27FC236}">
              <a16:creationId xmlns:a16="http://schemas.microsoft.com/office/drawing/2014/main" id="{00000000-0008-0000-0800-00003A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48686" y="2857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19</xdr:col>
      <xdr:colOff>85724</xdr:colOff>
      <xdr:row>0</xdr:row>
      <xdr:rowOff>28574</xdr:rowOff>
    </xdr:from>
    <xdr:to>
      <xdr:col>25</xdr:col>
      <xdr:colOff>13199</xdr:colOff>
      <xdr:row>9</xdr:row>
      <xdr:rowOff>16574</xdr:rowOff>
    </xdr:to>
    <xdr:pic>
      <xdr:nvPicPr>
        <xdr:cNvPr id="86588" name="Card Back 1">
          <a:extLst>
            <a:ext uri="{FF2B5EF4-FFF2-40B4-BE49-F238E27FC236}">
              <a16:creationId xmlns:a16="http://schemas.microsoft.com/office/drawing/2014/main" id="{00000000-0008-0000-0800-00003C52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4" y="28574"/>
          <a:ext cx="1080000" cy="151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absolute">
    <xdr:from>
      <xdr:col>21</xdr:col>
      <xdr:colOff>0</xdr:colOff>
      <xdr:row>13</xdr:row>
      <xdr:rowOff>209550</xdr:rowOff>
    </xdr:from>
    <xdr:to>
      <xdr:col>21</xdr:col>
      <xdr:colOff>171450</xdr:colOff>
      <xdr:row>15</xdr:row>
      <xdr:rowOff>74400</xdr:rowOff>
    </xdr:to>
    <xdr:pic>
      <xdr:nvPicPr>
        <xdr:cNvPr id="798" name="1 of spade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2257425"/>
          <a:ext cx="171450" cy="226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27</xdr:col>
      <xdr:colOff>0</xdr:colOff>
      <xdr:row>11</xdr:row>
      <xdr:rowOff>0</xdr:rowOff>
    </xdr:from>
    <xdr:to>
      <xdr:col>27</xdr:col>
      <xdr:colOff>171450</xdr:colOff>
      <xdr:row>18</xdr:row>
      <xdr:rowOff>57150</xdr:rowOff>
    </xdr:to>
    <xdr:grpSp>
      <xdr:nvGrpSpPr>
        <xdr:cNvPr id="86066" name="2 of spade">
          <a:extLst>
            <a:ext uri="{FF2B5EF4-FFF2-40B4-BE49-F238E27FC236}">
              <a16:creationId xmlns:a16="http://schemas.microsoft.com/office/drawing/2014/main" id="{00000000-0008-0000-0800-000032500100}"/>
            </a:ext>
          </a:extLst>
        </xdr:cNvPr>
        <xdr:cNvGrpSpPr/>
      </xdr:nvGrpSpPr>
      <xdr:grpSpPr>
        <a:xfrm>
          <a:off x="8924925" y="1781175"/>
          <a:ext cx="171450" cy="1181100"/>
          <a:chOff x="8924925" y="1781175"/>
          <a:chExt cx="171450" cy="990600"/>
        </a:xfrm>
      </xdr:grpSpPr>
      <xdr:pic>
        <xdr:nvPicPr>
          <xdr:cNvPr id="799" name="2spade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00" name="3spade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33</xdr:col>
      <xdr:colOff>0</xdr:colOff>
      <xdr:row>11</xdr:row>
      <xdr:rowOff>0</xdr:rowOff>
    </xdr:from>
    <xdr:to>
      <xdr:col>33</xdr:col>
      <xdr:colOff>171450</xdr:colOff>
      <xdr:row>18</xdr:row>
      <xdr:rowOff>57150</xdr:rowOff>
    </xdr:to>
    <xdr:grpSp>
      <xdr:nvGrpSpPr>
        <xdr:cNvPr id="86067" name="3 of spade">
          <a:extLst>
            <a:ext uri="{FF2B5EF4-FFF2-40B4-BE49-F238E27FC236}">
              <a16:creationId xmlns:a16="http://schemas.microsoft.com/office/drawing/2014/main" id="{00000000-0008-0000-0800-000033500100}"/>
            </a:ext>
          </a:extLst>
        </xdr:cNvPr>
        <xdr:cNvGrpSpPr/>
      </xdr:nvGrpSpPr>
      <xdr:grpSpPr>
        <a:xfrm>
          <a:off x="10077450" y="1781175"/>
          <a:ext cx="171450" cy="1181100"/>
          <a:chOff x="10077450" y="1781175"/>
          <a:chExt cx="171450" cy="990600"/>
        </a:xfrm>
      </xdr:grpSpPr>
      <xdr:pic>
        <xdr:nvPicPr>
          <xdr:cNvPr id="802" name="4spade">
            <a:extLst>
              <a:ext uri="{FF2B5EF4-FFF2-40B4-BE49-F238E27FC236}">
                <a16:creationId xmlns:a16="http://schemas.microsoft.com/office/drawing/2014/main" id="{00000000-0008-0000-0800-00002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03" name="5spade">
            <a:extLst>
              <a:ext uri="{FF2B5EF4-FFF2-40B4-BE49-F238E27FC236}">
                <a16:creationId xmlns:a16="http://schemas.microsoft.com/office/drawing/2014/main" id="{00000000-0008-0000-0800-00002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04" name="6spade">
            <a:extLst>
              <a:ext uri="{FF2B5EF4-FFF2-40B4-BE49-F238E27FC236}">
                <a16:creationId xmlns:a16="http://schemas.microsoft.com/office/drawing/2014/main" id="{00000000-0008-0000-0800-00002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38</xdr:col>
      <xdr:colOff>0</xdr:colOff>
      <xdr:row>11</xdr:row>
      <xdr:rowOff>0</xdr:rowOff>
    </xdr:from>
    <xdr:to>
      <xdr:col>40</xdr:col>
      <xdr:colOff>171450</xdr:colOff>
      <xdr:row>18</xdr:row>
      <xdr:rowOff>57150</xdr:rowOff>
    </xdr:to>
    <xdr:grpSp>
      <xdr:nvGrpSpPr>
        <xdr:cNvPr id="86068" name="4 of spade">
          <a:extLst>
            <a:ext uri="{FF2B5EF4-FFF2-40B4-BE49-F238E27FC236}">
              <a16:creationId xmlns:a16="http://schemas.microsoft.com/office/drawing/2014/main" id="{00000000-0008-0000-0800-000034500100}"/>
            </a:ext>
          </a:extLst>
        </xdr:cNvPr>
        <xdr:cNvGrpSpPr/>
      </xdr:nvGrpSpPr>
      <xdr:grpSpPr>
        <a:xfrm>
          <a:off x="11029950" y="1781175"/>
          <a:ext cx="571500" cy="1181100"/>
          <a:chOff x="11029950" y="1781175"/>
          <a:chExt cx="571500" cy="990600"/>
        </a:xfrm>
      </xdr:grpSpPr>
      <xdr:pic>
        <xdr:nvPicPr>
          <xdr:cNvPr id="806" name="7spade">
            <a:extLst>
              <a:ext uri="{FF2B5EF4-FFF2-40B4-BE49-F238E27FC236}">
                <a16:creationId xmlns:a16="http://schemas.microsoft.com/office/drawing/2014/main" id="{00000000-0008-0000-0800-00002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07" name="8spade">
            <a:extLst>
              <a:ext uri="{FF2B5EF4-FFF2-40B4-BE49-F238E27FC236}">
                <a16:creationId xmlns:a16="http://schemas.microsoft.com/office/drawing/2014/main" id="{00000000-0008-0000-0800-00002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08" name="9spade">
            <a:extLst>
              <a:ext uri="{FF2B5EF4-FFF2-40B4-BE49-F238E27FC236}">
                <a16:creationId xmlns:a16="http://schemas.microsoft.com/office/drawing/2014/main" id="{00000000-0008-0000-0800-00002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09" name="10spade">
            <a:extLst>
              <a:ext uri="{FF2B5EF4-FFF2-40B4-BE49-F238E27FC236}">
                <a16:creationId xmlns:a16="http://schemas.microsoft.com/office/drawing/2014/main" id="{00000000-0008-0000-0800-00002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44</xdr:col>
      <xdr:colOff>0</xdr:colOff>
      <xdr:row>11</xdr:row>
      <xdr:rowOff>0</xdr:rowOff>
    </xdr:from>
    <xdr:to>
      <xdr:col>46</xdr:col>
      <xdr:colOff>171450</xdr:colOff>
      <xdr:row>18</xdr:row>
      <xdr:rowOff>57150</xdr:rowOff>
    </xdr:to>
    <xdr:grpSp>
      <xdr:nvGrpSpPr>
        <xdr:cNvPr id="86069" name="5 of spade">
          <a:extLst>
            <a:ext uri="{FF2B5EF4-FFF2-40B4-BE49-F238E27FC236}">
              <a16:creationId xmlns:a16="http://schemas.microsoft.com/office/drawing/2014/main" id="{00000000-0008-0000-0800-000035500100}"/>
            </a:ext>
          </a:extLst>
        </xdr:cNvPr>
        <xdr:cNvGrpSpPr/>
      </xdr:nvGrpSpPr>
      <xdr:grpSpPr>
        <a:xfrm>
          <a:off x="12172950" y="1781175"/>
          <a:ext cx="571500" cy="1181100"/>
          <a:chOff x="12172950" y="1781175"/>
          <a:chExt cx="571500" cy="990600"/>
        </a:xfrm>
      </xdr:grpSpPr>
      <xdr:pic>
        <xdr:nvPicPr>
          <xdr:cNvPr id="811" name="11spade">
            <a:extLst>
              <a:ext uri="{FF2B5EF4-FFF2-40B4-BE49-F238E27FC236}">
                <a16:creationId xmlns:a16="http://schemas.microsoft.com/office/drawing/2014/main" id="{00000000-0008-0000-0800-00002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2" name="12spade">
            <a:extLst>
              <a:ext uri="{FF2B5EF4-FFF2-40B4-BE49-F238E27FC236}">
                <a16:creationId xmlns:a16="http://schemas.microsoft.com/office/drawing/2014/main" id="{00000000-0008-0000-0800-00002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3" name="13spade">
            <a:extLst>
              <a:ext uri="{FF2B5EF4-FFF2-40B4-BE49-F238E27FC236}">
                <a16:creationId xmlns:a16="http://schemas.microsoft.com/office/drawing/2014/main" id="{00000000-0008-0000-0800-00002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72975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4" name="14spade">
            <a:extLst>
              <a:ext uri="{FF2B5EF4-FFF2-40B4-BE49-F238E27FC236}">
                <a16:creationId xmlns:a16="http://schemas.microsoft.com/office/drawing/2014/main" id="{00000000-0008-0000-0800-00002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5" name="15spade">
            <a:extLst>
              <a:ext uri="{FF2B5EF4-FFF2-40B4-BE49-F238E27FC236}">
                <a16:creationId xmlns:a16="http://schemas.microsoft.com/office/drawing/2014/main" id="{00000000-0008-0000-0800-00002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50</xdr:col>
      <xdr:colOff>0</xdr:colOff>
      <xdr:row>11</xdr:row>
      <xdr:rowOff>0</xdr:rowOff>
    </xdr:from>
    <xdr:to>
      <xdr:col>52</xdr:col>
      <xdr:colOff>171450</xdr:colOff>
      <xdr:row>18</xdr:row>
      <xdr:rowOff>57150</xdr:rowOff>
    </xdr:to>
    <xdr:grpSp>
      <xdr:nvGrpSpPr>
        <xdr:cNvPr id="86070" name="6 of spade">
          <a:extLst>
            <a:ext uri="{FF2B5EF4-FFF2-40B4-BE49-F238E27FC236}">
              <a16:creationId xmlns:a16="http://schemas.microsoft.com/office/drawing/2014/main" id="{00000000-0008-0000-0800-000036500100}"/>
            </a:ext>
          </a:extLst>
        </xdr:cNvPr>
        <xdr:cNvGrpSpPr/>
      </xdr:nvGrpSpPr>
      <xdr:grpSpPr>
        <a:xfrm>
          <a:off x="13325475" y="1781175"/>
          <a:ext cx="571500" cy="1181100"/>
          <a:chOff x="13325475" y="1781175"/>
          <a:chExt cx="571500" cy="990600"/>
        </a:xfrm>
      </xdr:grpSpPr>
      <xdr:pic>
        <xdr:nvPicPr>
          <xdr:cNvPr id="817" name="16spade">
            <a:extLst>
              <a:ext uri="{FF2B5EF4-FFF2-40B4-BE49-F238E27FC236}">
                <a16:creationId xmlns:a16="http://schemas.microsoft.com/office/drawing/2014/main" id="{00000000-0008-0000-0800-00003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8" name="17spade">
            <a:extLst>
              <a:ext uri="{FF2B5EF4-FFF2-40B4-BE49-F238E27FC236}">
                <a16:creationId xmlns:a16="http://schemas.microsoft.com/office/drawing/2014/main" id="{00000000-0008-0000-0800-00003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9" name="18spade">
            <a:extLst>
              <a:ext uri="{FF2B5EF4-FFF2-40B4-BE49-F238E27FC236}">
                <a16:creationId xmlns:a16="http://schemas.microsoft.com/office/drawing/2014/main" id="{00000000-0008-0000-0800-00003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0" name="19spade">
            <a:extLst>
              <a:ext uri="{FF2B5EF4-FFF2-40B4-BE49-F238E27FC236}">
                <a16:creationId xmlns:a16="http://schemas.microsoft.com/office/drawing/2014/main" id="{00000000-0008-0000-0800-00003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1" name="20spade">
            <a:extLst>
              <a:ext uri="{FF2B5EF4-FFF2-40B4-BE49-F238E27FC236}">
                <a16:creationId xmlns:a16="http://schemas.microsoft.com/office/drawing/2014/main" id="{00000000-0008-0000-0800-00003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2" name="21spade">
            <a:extLst>
              <a:ext uri="{FF2B5EF4-FFF2-40B4-BE49-F238E27FC236}">
                <a16:creationId xmlns:a16="http://schemas.microsoft.com/office/drawing/2014/main" id="{00000000-0008-0000-0800-00003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56</xdr:col>
      <xdr:colOff>0</xdr:colOff>
      <xdr:row>11</xdr:row>
      <xdr:rowOff>0</xdr:rowOff>
    </xdr:from>
    <xdr:to>
      <xdr:col>58</xdr:col>
      <xdr:colOff>171450</xdr:colOff>
      <xdr:row>18</xdr:row>
      <xdr:rowOff>57150</xdr:rowOff>
    </xdr:to>
    <xdr:grpSp>
      <xdr:nvGrpSpPr>
        <xdr:cNvPr id="86071" name="7 of spade">
          <a:extLst>
            <a:ext uri="{FF2B5EF4-FFF2-40B4-BE49-F238E27FC236}">
              <a16:creationId xmlns:a16="http://schemas.microsoft.com/office/drawing/2014/main" id="{00000000-0008-0000-0800-000037500100}"/>
            </a:ext>
          </a:extLst>
        </xdr:cNvPr>
        <xdr:cNvGrpSpPr/>
      </xdr:nvGrpSpPr>
      <xdr:grpSpPr>
        <a:xfrm>
          <a:off x="14478000" y="1781175"/>
          <a:ext cx="571500" cy="1181100"/>
          <a:chOff x="14478000" y="1781175"/>
          <a:chExt cx="571500" cy="990600"/>
        </a:xfrm>
      </xdr:grpSpPr>
      <xdr:pic>
        <xdr:nvPicPr>
          <xdr:cNvPr id="824" name="22spade">
            <a:extLst>
              <a:ext uri="{FF2B5EF4-FFF2-40B4-BE49-F238E27FC236}">
                <a16:creationId xmlns:a16="http://schemas.microsoft.com/office/drawing/2014/main" id="{00000000-0008-0000-0800-00003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5" name="23spade">
            <a:extLst>
              <a:ext uri="{FF2B5EF4-FFF2-40B4-BE49-F238E27FC236}">
                <a16:creationId xmlns:a16="http://schemas.microsoft.com/office/drawing/2014/main" id="{00000000-0008-0000-0800-00003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6" name="24spade">
            <a:extLst>
              <a:ext uri="{FF2B5EF4-FFF2-40B4-BE49-F238E27FC236}">
                <a16:creationId xmlns:a16="http://schemas.microsoft.com/office/drawing/2014/main" id="{00000000-0008-0000-0800-00003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7" name="25spade">
            <a:extLst>
              <a:ext uri="{FF2B5EF4-FFF2-40B4-BE49-F238E27FC236}">
                <a16:creationId xmlns:a16="http://schemas.microsoft.com/office/drawing/2014/main" id="{00000000-0008-0000-0800-00003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678025" y="19145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8" name="26spade">
            <a:extLst>
              <a:ext uri="{FF2B5EF4-FFF2-40B4-BE49-F238E27FC236}">
                <a16:creationId xmlns:a16="http://schemas.microsoft.com/office/drawing/2014/main" id="{00000000-0008-0000-0800-00003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29" name="27spade">
            <a:extLst>
              <a:ext uri="{FF2B5EF4-FFF2-40B4-BE49-F238E27FC236}">
                <a16:creationId xmlns:a16="http://schemas.microsoft.com/office/drawing/2014/main" id="{00000000-0008-0000-0800-00003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0" name="28spade">
            <a:extLst>
              <a:ext uri="{FF2B5EF4-FFF2-40B4-BE49-F238E27FC236}">
                <a16:creationId xmlns:a16="http://schemas.microsoft.com/office/drawing/2014/main" id="{00000000-0008-0000-0800-00003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62</xdr:col>
      <xdr:colOff>0</xdr:colOff>
      <xdr:row>11</xdr:row>
      <xdr:rowOff>0</xdr:rowOff>
    </xdr:from>
    <xdr:to>
      <xdr:col>64</xdr:col>
      <xdr:colOff>171450</xdr:colOff>
      <xdr:row>18</xdr:row>
      <xdr:rowOff>57150</xdr:rowOff>
    </xdr:to>
    <xdr:grpSp>
      <xdr:nvGrpSpPr>
        <xdr:cNvPr id="86072" name="8 of spade">
          <a:extLst>
            <a:ext uri="{FF2B5EF4-FFF2-40B4-BE49-F238E27FC236}">
              <a16:creationId xmlns:a16="http://schemas.microsoft.com/office/drawing/2014/main" id="{00000000-0008-0000-0800-000038500100}"/>
            </a:ext>
          </a:extLst>
        </xdr:cNvPr>
        <xdr:cNvGrpSpPr/>
      </xdr:nvGrpSpPr>
      <xdr:grpSpPr>
        <a:xfrm>
          <a:off x="15630525" y="1781175"/>
          <a:ext cx="571500" cy="1181100"/>
          <a:chOff x="15630525" y="1781175"/>
          <a:chExt cx="571500" cy="990600"/>
        </a:xfrm>
      </xdr:grpSpPr>
      <xdr:pic>
        <xdr:nvPicPr>
          <xdr:cNvPr id="832" name="29spade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3" name="30spade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4" name="31spade">
            <a:extLst>
              <a:ext uri="{FF2B5EF4-FFF2-40B4-BE49-F238E27FC236}">
                <a16:creationId xmlns:a16="http://schemas.microsoft.com/office/drawing/2014/main" id="{00000000-0008-0000-0800-00004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5" name="32spade">
            <a:extLst>
              <a:ext uri="{FF2B5EF4-FFF2-40B4-BE49-F238E27FC236}">
                <a16:creationId xmlns:a16="http://schemas.microsoft.com/office/drawing/2014/main" id="{00000000-0008-0000-0800-00004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19145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6" name="33spade">
            <a:extLst>
              <a:ext uri="{FF2B5EF4-FFF2-40B4-BE49-F238E27FC236}">
                <a16:creationId xmlns:a16="http://schemas.microsoft.com/office/drawing/2014/main" id="{00000000-0008-0000-0800-00004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24479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7" name="34spade">
            <a:extLst>
              <a:ext uri="{FF2B5EF4-FFF2-40B4-BE49-F238E27FC236}">
                <a16:creationId xmlns:a16="http://schemas.microsoft.com/office/drawing/2014/main" id="{00000000-0008-0000-0800-00004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8" name="35spade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39" name="36spade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68</xdr:col>
      <xdr:colOff>0</xdr:colOff>
      <xdr:row>11</xdr:row>
      <xdr:rowOff>0</xdr:rowOff>
    </xdr:from>
    <xdr:to>
      <xdr:col>70</xdr:col>
      <xdr:colOff>171450</xdr:colOff>
      <xdr:row>18</xdr:row>
      <xdr:rowOff>57150</xdr:rowOff>
    </xdr:to>
    <xdr:grpSp>
      <xdr:nvGrpSpPr>
        <xdr:cNvPr id="86073" name="9 of spade">
          <a:extLst>
            <a:ext uri="{FF2B5EF4-FFF2-40B4-BE49-F238E27FC236}">
              <a16:creationId xmlns:a16="http://schemas.microsoft.com/office/drawing/2014/main" id="{00000000-0008-0000-0800-000039500100}"/>
            </a:ext>
          </a:extLst>
        </xdr:cNvPr>
        <xdr:cNvGrpSpPr/>
      </xdr:nvGrpSpPr>
      <xdr:grpSpPr>
        <a:xfrm>
          <a:off x="16773525" y="1781175"/>
          <a:ext cx="571500" cy="1181100"/>
          <a:chOff x="16773525" y="1781175"/>
          <a:chExt cx="571500" cy="990600"/>
        </a:xfrm>
      </xdr:grpSpPr>
      <xdr:pic>
        <xdr:nvPicPr>
          <xdr:cNvPr id="841" name="37spade">
            <a:extLst>
              <a:ext uri="{FF2B5EF4-FFF2-40B4-BE49-F238E27FC236}">
                <a16:creationId xmlns:a16="http://schemas.microsoft.com/office/drawing/2014/main" id="{00000000-0008-0000-0800-00004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2" name="38spade">
            <a:extLst>
              <a:ext uri="{FF2B5EF4-FFF2-40B4-BE49-F238E27FC236}">
                <a16:creationId xmlns:a16="http://schemas.microsoft.com/office/drawing/2014/main" id="{00000000-0008-0000-0800-00004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20478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3" name="39spade">
            <a:extLst>
              <a:ext uri="{FF2B5EF4-FFF2-40B4-BE49-F238E27FC236}">
                <a16:creationId xmlns:a16="http://schemas.microsoft.com/office/drawing/2014/main" id="{00000000-0008-0000-0800-00004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23145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4" name="40spade">
            <a:extLst>
              <a:ext uri="{FF2B5EF4-FFF2-40B4-BE49-F238E27FC236}">
                <a16:creationId xmlns:a16="http://schemas.microsoft.com/office/drawing/2014/main" id="{00000000-0008-0000-0800-00004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5" name="41spade">
            <a:extLst>
              <a:ext uri="{FF2B5EF4-FFF2-40B4-BE49-F238E27FC236}">
                <a16:creationId xmlns:a16="http://schemas.microsoft.com/office/drawing/2014/main" id="{00000000-0008-0000-0800-00004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73550" y="21812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6" name="42spade">
            <a:extLst>
              <a:ext uri="{FF2B5EF4-FFF2-40B4-BE49-F238E27FC236}">
                <a16:creationId xmlns:a16="http://schemas.microsoft.com/office/drawing/2014/main" id="{00000000-0008-0000-0800-00004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7" name="43spade">
            <a:extLst>
              <a:ext uri="{FF2B5EF4-FFF2-40B4-BE49-F238E27FC236}">
                <a16:creationId xmlns:a16="http://schemas.microsoft.com/office/drawing/2014/main" id="{00000000-0008-0000-0800-00004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20478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8" name="44spade">
            <a:extLst>
              <a:ext uri="{FF2B5EF4-FFF2-40B4-BE49-F238E27FC236}">
                <a16:creationId xmlns:a16="http://schemas.microsoft.com/office/drawing/2014/main" id="{00000000-0008-0000-0800-00005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23145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49" name="45spade">
            <a:extLst>
              <a:ext uri="{FF2B5EF4-FFF2-40B4-BE49-F238E27FC236}">
                <a16:creationId xmlns:a16="http://schemas.microsoft.com/office/drawing/2014/main" id="{00000000-0008-0000-0800-00005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74</xdr:col>
      <xdr:colOff>0</xdr:colOff>
      <xdr:row>11</xdr:row>
      <xdr:rowOff>0</xdr:rowOff>
    </xdr:from>
    <xdr:to>
      <xdr:col>76</xdr:col>
      <xdr:colOff>171450</xdr:colOff>
      <xdr:row>18</xdr:row>
      <xdr:rowOff>57150</xdr:rowOff>
    </xdr:to>
    <xdr:grpSp>
      <xdr:nvGrpSpPr>
        <xdr:cNvPr id="86074" name="10 of spade">
          <a:extLst>
            <a:ext uri="{FF2B5EF4-FFF2-40B4-BE49-F238E27FC236}">
              <a16:creationId xmlns:a16="http://schemas.microsoft.com/office/drawing/2014/main" id="{00000000-0008-0000-0800-00003A500100}"/>
            </a:ext>
          </a:extLst>
        </xdr:cNvPr>
        <xdr:cNvGrpSpPr/>
      </xdr:nvGrpSpPr>
      <xdr:grpSpPr>
        <a:xfrm>
          <a:off x="17926050" y="1781175"/>
          <a:ext cx="571500" cy="1181100"/>
          <a:chOff x="17926050" y="1781175"/>
          <a:chExt cx="571500" cy="990600"/>
        </a:xfrm>
      </xdr:grpSpPr>
      <xdr:pic>
        <xdr:nvPicPr>
          <xdr:cNvPr id="851" name="46spade">
            <a:extLst>
              <a:ext uri="{FF2B5EF4-FFF2-40B4-BE49-F238E27FC236}">
                <a16:creationId xmlns:a16="http://schemas.microsoft.com/office/drawing/2014/main" id="{00000000-0008-0000-0800-00005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2" name="47spade">
            <a:extLst>
              <a:ext uri="{FF2B5EF4-FFF2-40B4-BE49-F238E27FC236}">
                <a16:creationId xmlns:a16="http://schemas.microsoft.com/office/drawing/2014/main" id="{00000000-0008-0000-0800-00005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20478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3" name="48spade">
            <a:extLst>
              <a:ext uri="{FF2B5EF4-FFF2-40B4-BE49-F238E27FC236}">
                <a16:creationId xmlns:a16="http://schemas.microsoft.com/office/drawing/2014/main" id="{00000000-0008-0000-0800-00005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23145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4" name="49spade">
            <a:extLst>
              <a:ext uri="{FF2B5EF4-FFF2-40B4-BE49-F238E27FC236}">
                <a16:creationId xmlns:a16="http://schemas.microsoft.com/office/drawing/2014/main" id="{00000000-0008-0000-0800-00005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5" name="50spade">
            <a:extLst>
              <a:ext uri="{FF2B5EF4-FFF2-40B4-BE49-F238E27FC236}">
                <a16:creationId xmlns:a16="http://schemas.microsoft.com/office/drawing/2014/main" id="{00000000-0008-0000-0800-00005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19145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6" name="51spade">
            <a:extLst>
              <a:ext uri="{FF2B5EF4-FFF2-40B4-BE49-F238E27FC236}">
                <a16:creationId xmlns:a16="http://schemas.microsoft.com/office/drawing/2014/main" id="{00000000-0008-0000-0800-00005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244792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7" name="52spade">
            <a:extLst>
              <a:ext uri="{FF2B5EF4-FFF2-40B4-BE49-F238E27FC236}">
                <a16:creationId xmlns:a16="http://schemas.microsoft.com/office/drawing/2014/main" id="{00000000-0008-0000-0800-00005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17811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8" name="53spade">
            <a:extLst>
              <a:ext uri="{FF2B5EF4-FFF2-40B4-BE49-F238E27FC236}">
                <a16:creationId xmlns:a16="http://schemas.microsoft.com/office/drawing/2014/main" id="{00000000-0008-0000-0800-00005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20478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59" name="54spade">
            <a:extLst>
              <a:ext uri="{FF2B5EF4-FFF2-40B4-BE49-F238E27FC236}">
                <a16:creationId xmlns:a16="http://schemas.microsoft.com/office/drawing/2014/main" id="{00000000-0008-0000-0800-00005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23145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60" name="55spade">
            <a:extLst>
              <a:ext uri="{FF2B5EF4-FFF2-40B4-BE49-F238E27FC236}">
                <a16:creationId xmlns:a16="http://schemas.microsoft.com/office/drawing/2014/main" id="{00000000-0008-0000-0800-00005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2581275"/>
            <a:ext cx="171450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21</xdr:col>
      <xdr:colOff>0</xdr:colOff>
      <xdr:row>23</xdr:row>
      <xdr:rowOff>209550</xdr:rowOff>
    </xdr:from>
    <xdr:to>
      <xdr:col>21</xdr:col>
      <xdr:colOff>161925</xdr:colOff>
      <xdr:row>25</xdr:row>
      <xdr:rowOff>74400</xdr:rowOff>
    </xdr:to>
    <xdr:pic>
      <xdr:nvPicPr>
        <xdr:cNvPr id="862" name="1 of diamond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3848100"/>
          <a:ext cx="161925" cy="226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27</xdr:col>
      <xdr:colOff>0</xdr:colOff>
      <xdr:row>21</xdr:row>
      <xdr:rowOff>0</xdr:rowOff>
    </xdr:from>
    <xdr:to>
      <xdr:col>27</xdr:col>
      <xdr:colOff>161925</xdr:colOff>
      <xdr:row>28</xdr:row>
      <xdr:rowOff>57150</xdr:rowOff>
    </xdr:to>
    <xdr:grpSp>
      <xdr:nvGrpSpPr>
        <xdr:cNvPr id="86075" name="2 of diamond">
          <a:extLst>
            <a:ext uri="{FF2B5EF4-FFF2-40B4-BE49-F238E27FC236}">
              <a16:creationId xmlns:a16="http://schemas.microsoft.com/office/drawing/2014/main" id="{00000000-0008-0000-0800-00003B500100}"/>
            </a:ext>
          </a:extLst>
        </xdr:cNvPr>
        <xdr:cNvGrpSpPr/>
      </xdr:nvGrpSpPr>
      <xdr:grpSpPr>
        <a:xfrm>
          <a:off x="8924925" y="3371850"/>
          <a:ext cx="161925" cy="1181100"/>
          <a:chOff x="8924925" y="3181350"/>
          <a:chExt cx="161925" cy="990600"/>
        </a:xfrm>
      </xdr:grpSpPr>
      <xdr:pic>
        <xdr:nvPicPr>
          <xdr:cNvPr id="863" name="2diamond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64" name="3diamond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33</xdr:col>
      <xdr:colOff>0</xdr:colOff>
      <xdr:row>21</xdr:row>
      <xdr:rowOff>0</xdr:rowOff>
    </xdr:from>
    <xdr:to>
      <xdr:col>33</xdr:col>
      <xdr:colOff>161925</xdr:colOff>
      <xdr:row>28</xdr:row>
      <xdr:rowOff>57150</xdr:rowOff>
    </xdr:to>
    <xdr:grpSp>
      <xdr:nvGrpSpPr>
        <xdr:cNvPr id="86076" name="3 of diamond">
          <a:extLst>
            <a:ext uri="{FF2B5EF4-FFF2-40B4-BE49-F238E27FC236}">
              <a16:creationId xmlns:a16="http://schemas.microsoft.com/office/drawing/2014/main" id="{00000000-0008-0000-0800-00003C500100}"/>
            </a:ext>
          </a:extLst>
        </xdr:cNvPr>
        <xdr:cNvGrpSpPr/>
      </xdr:nvGrpSpPr>
      <xdr:grpSpPr>
        <a:xfrm>
          <a:off x="10077450" y="3371850"/>
          <a:ext cx="161925" cy="1181100"/>
          <a:chOff x="10077450" y="3181350"/>
          <a:chExt cx="161925" cy="990600"/>
        </a:xfrm>
      </xdr:grpSpPr>
      <xdr:pic>
        <xdr:nvPicPr>
          <xdr:cNvPr id="866" name="4diamond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67" name="5diamond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68" name="6diamond">
            <a:extLst>
              <a:ext uri="{FF2B5EF4-FFF2-40B4-BE49-F238E27FC236}">
                <a16:creationId xmlns:a16="http://schemas.microsoft.com/office/drawing/2014/main" id="{00000000-0008-0000-0800-00006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38</xdr:col>
      <xdr:colOff>0</xdr:colOff>
      <xdr:row>21</xdr:row>
      <xdr:rowOff>0</xdr:rowOff>
    </xdr:from>
    <xdr:to>
      <xdr:col>40</xdr:col>
      <xdr:colOff>161925</xdr:colOff>
      <xdr:row>28</xdr:row>
      <xdr:rowOff>57150</xdr:rowOff>
    </xdr:to>
    <xdr:grpSp>
      <xdr:nvGrpSpPr>
        <xdr:cNvPr id="86077" name="4 of diamond">
          <a:extLst>
            <a:ext uri="{FF2B5EF4-FFF2-40B4-BE49-F238E27FC236}">
              <a16:creationId xmlns:a16="http://schemas.microsoft.com/office/drawing/2014/main" id="{00000000-0008-0000-0800-00003D500100}"/>
            </a:ext>
          </a:extLst>
        </xdr:cNvPr>
        <xdr:cNvGrpSpPr/>
      </xdr:nvGrpSpPr>
      <xdr:grpSpPr>
        <a:xfrm>
          <a:off x="11029950" y="3371850"/>
          <a:ext cx="561975" cy="1181100"/>
          <a:chOff x="11029950" y="3181350"/>
          <a:chExt cx="561975" cy="990600"/>
        </a:xfrm>
      </xdr:grpSpPr>
      <xdr:pic>
        <xdr:nvPicPr>
          <xdr:cNvPr id="870" name="7diamond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1" name="8diamond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2" name="9diamond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3" name="10diamond">
            <a:extLst>
              <a:ext uri="{FF2B5EF4-FFF2-40B4-BE49-F238E27FC236}">
                <a16:creationId xmlns:a16="http://schemas.microsoft.com/office/drawing/2014/main" id="{00000000-0008-0000-0800-00006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44</xdr:col>
      <xdr:colOff>0</xdr:colOff>
      <xdr:row>21</xdr:row>
      <xdr:rowOff>0</xdr:rowOff>
    </xdr:from>
    <xdr:to>
      <xdr:col>46</xdr:col>
      <xdr:colOff>161925</xdr:colOff>
      <xdr:row>28</xdr:row>
      <xdr:rowOff>57150</xdr:rowOff>
    </xdr:to>
    <xdr:grpSp>
      <xdr:nvGrpSpPr>
        <xdr:cNvPr id="86078" name="5 of diamond">
          <a:extLst>
            <a:ext uri="{FF2B5EF4-FFF2-40B4-BE49-F238E27FC236}">
              <a16:creationId xmlns:a16="http://schemas.microsoft.com/office/drawing/2014/main" id="{00000000-0008-0000-0800-00003E500100}"/>
            </a:ext>
          </a:extLst>
        </xdr:cNvPr>
        <xdr:cNvGrpSpPr/>
      </xdr:nvGrpSpPr>
      <xdr:grpSpPr>
        <a:xfrm>
          <a:off x="12172950" y="3371850"/>
          <a:ext cx="561975" cy="1181100"/>
          <a:chOff x="12172950" y="3181350"/>
          <a:chExt cx="561975" cy="990600"/>
        </a:xfrm>
      </xdr:grpSpPr>
      <xdr:pic>
        <xdr:nvPicPr>
          <xdr:cNvPr id="875" name="11diamond">
            <a:extLst>
              <a:ext uri="{FF2B5EF4-FFF2-40B4-BE49-F238E27FC236}">
                <a16:creationId xmlns:a16="http://schemas.microsoft.com/office/drawing/2014/main" id="{00000000-0008-0000-0800-00006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6" name="12diamond">
            <a:extLst>
              <a:ext uri="{FF2B5EF4-FFF2-40B4-BE49-F238E27FC236}">
                <a16:creationId xmlns:a16="http://schemas.microsoft.com/office/drawing/2014/main" id="{00000000-0008-0000-0800-00006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7" name="13diamond">
            <a:extLst>
              <a:ext uri="{FF2B5EF4-FFF2-40B4-BE49-F238E27FC236}">
                <a16:creationId xmlns:a16="http://schemas.microsoft.com/office/drawing/2014/main" id="{00000000-0008-0000-0800-00006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72975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8" name="14diamond">
            <a:extLst>
              <a:ext uri="{FF2B5EF4-FFF2-40B4-BE49-F238E27FC236}">
                <a16:creationId xmlns:a16="http://schemas.microsoft.com/office/drawing/2014/main" id="{00000000-0008-0000-0800-00006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79" name="15diamond">
            <a:extLst>
              <a:ext uri="{FF2B5EF4-FFF2-40B4-BE49-F238E27FC236}">
                <a16:creationId xmlns:a16="http://schemas.microsoft.com/office/drawing/2014/main" id="{00000000-0008-0000-0800-00006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50</xdr:col>
      <xdr:colOff>0</xdr:colOff>
      <xdr:row>21</xdr:row>
      <xdr:rowOff>0</xdr:rowOff>
    </xdr:from>
    <xdr:to>
      <xdr:col>52</xdr:col>
      <xdr:colOff>161925</xdr:colOff>
      <xdr:row>28</xdr:row>
      <xdr:rowOff>57150</xdr:rowOff>
    </xdr:to>
    <xdr:grpSp>
      <xdr:nvGrpSpPr>
        <xdr:cNvPr id="86079" name="6 of diamond">
          <a:extLst>
            <a:ext uri="{FF2B5EF4-FFF2-40B4-BE49-F238E27FC236}">
              <a16:creationId xmlns:a16="http://schemas.microsoft.com/office/drawing/2014/main" id="{00000000-0008-0000-0800-00003F500100}"/>
            </a:ext>
          </a:extLst>
        </xdr:cNvPr>
        <xdr:cNvGrpSpPr/>
      </xdr:nvGrpSpPr>
      <xdr:grpSpPr>
        <a:xfrm>
          <a:off x="13325475" y="3371850"/>
          <a:ext cx="561975" cy="1181100"/>
          <a:chOff x="13325475" y="3181350"/>
          <a:chExt cx="561975" cy="990600"/>
        </a:xfrm>
      </xdr:grpSpPr>
      <xdr:pic>
        <xdr:nvPicPr>
          <xdr:cNvPr id="881" name="16diamond">
            <a:extLst>
              <a:ext uri="{FF2B5EF4-FFF2-40B4-BE49-F238E27FC236}">
                <a16:creationId xmlns:a16="http://schemas.microsoft.com/office/drawing/2014/main" id="{00000000-0008-0000-0800-00007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82" name="17diamond">
            <a:extLst>
              <a:ext uri="{FF2B5EF4-FFF2-40B4-BE49-F238E27FC236}">
                <a16:creationId xmlns:a16="http://schemas.microsoft.com/office/drawing/2014/main" id="{00000000-0008-0000-0800-00007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83" name="18diamond">
            <a:extLst>
              <a:ext uri="{FF2B5EF4-FFF2-40B4-BE49-F238E27FC236}">
                <a16:creationId xmlns:a16="http://schemas.microsoft.com/office/drawing/2014/main" id="{00000000-0008-0000-0800-00007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84" name="19diamond">
            <a:extLst>
              <a:ext uri="{FF2B5EF4-FFF2-40B4-BE49-F238E27FC236}">
                <a16:creationId xmlns:a16="http://schemas.microsoft.com/office/drawing/2014/main" id="{00000000-0008-0000-0800-00007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85" name="20diamond">
            <a:extLst>
              <a:ext uri="{FF2B5EF4-FFF2-40B4-BE49-F238E27FC236}">
                <a16:creationId xmlns:a16="http://schemas.microsoft.com/office/drawing/2014/main" id="{00000000-0008-0000-0800-00007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86" name="21diamond">
            <a:extLst>
              <a:ext uri="{FF2B5EF4-FFF2-40B4-BE49-F238E27FC236}">
                <a16:creationId xmlns:a16="http://schemas.microsoft.com/office/drawing/2014/main" id="{00000000-0008-0000-0800-00007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56</xdr:col>
      <xdr:colOff>0</xdr:colOff>
      <xdr:row>21</xdr:row>
      <xdr:rowOff>0</xdr:rowOff>
    </xdr:from>
    <xdr:to>
      <xdr:col>58</xdr:col>
      <xdr:colOff>161925</xdr:colOff>
      <xdr:row>28</xdr:row>
      <xdr:rowOff>57150</xdr:rowOff>
    </xdr:to>
    <xdr:grpSp>
      <xdr:nvGrpSpPr>
        <xdr:cNvPr id="64" name="7 of diamond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GrpSpPr/>
      </xdr:nvGrpSpPr>
      <xdr:grpSpPr>
        <a:xfrm>
          <a:off x="14478000" y="3371850"/>
          <a:ext cx="561975" cy="1181100"/>
          <a:chOff x="14478000" y="3181350"/>
          <a:chExt cx="561975" cy="990600"/>
        </a:xfrm>
      </xdr:grpSpPr>
      <xdr:pic>
        <xdr:nvPicPr>
          <xdr:cNvPr id="888" name="22diamond">
            <a:extLst>
              <a:ext uri="{FF2B5EF4-FFF2-40B4-BE49-F238E27FC236}">
                <a16:creationId xmlns:a16="http://schemas.microsoft.com/office/drawing/2014/main" id="{00000000-0008-0000-0800-00007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89" name="23diamond">
            <a:extLst>
              <a:ext uri="{FF2B5EF4-FFF2-40B4-BE49-F238E27FC236}">
                <a16:creationId xmlns:a16="http://schemas.microsoft.com/office/drawing/2014/main" id="{00000000-0008-0000-0800-00007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0" name="24diamond">
            <a:extLst>
              <a:ext uri="{FF2B5EF4-FFF2-40B4-BE49-F238E27FC236}">
                <a16:creationId xmlns:a16="http://schemas.microsoft.com/office/drawing/2014/main" id="{00000000-0008-0000-0800-00007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1" name="25diamond">
            <a:extLst>
              <a:ext uri="{FF2B5EF4-FFF2-40B4-BE49-F238E27FC236}">
                <a16:creationId xmlns:a16="http://schemas.microsoft.com/office/drawing/2014/main" id="{00000000-0008-0000-0800-00007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678025" y="33147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2" name="26diamond">
            <a:extLst>
              <a:ext uri="{FF2B5EF4-FFF2-40B4-BE49-F238E27FC236}">
                <a16:creationId xmlns:a16="http://schemas.microsoft.com/office/drawing/2014/main" id="{00000000-0008-0000-0800-00007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3" name="27diamond">
            <a:extLst>
              <a:ext uri="{FF2B5EF4-FFF2-40B4-BE49-F238E27FC236}">
                <a16:creationId xmlns:a16="http://schemas.microsoft.com/office/drawing/2014/main" id="{00000000-0008-0000-0800-00007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4" name="28diamond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62</xdr:col>
      <xdr:colOff>0</xdr:colOff>
      <xdr:row>21</xdr:row>
      <xdr:rowOff>0</xdr:rowOff>
    </xdr:from>
    <xdr:to>
      <xdr:col>64</xdr:col>
      <xdr:colOff>161925</xdr:colOff>
      <xdr:row>28</xdr:row>
      <xdr:rowOff>57150</xdr:rowOff>
    </xdr:to>
    <xdr:grpSp>
      <xdr:nvGrpSpPr>
        <xdr:cNvPr id="65" name="8 of diamond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GrpSpPr/>
      </xdr:nvGrpSpPr>
      <xdr:grpSpPr>
        <a:xfrm>
          <a:off x="15630525" y="3371850"/>
          <a:ext cx="561975" cy="1181100"/>
          <a:chOff x="15630525" y="3181350"/>
          <a:chExt cx="561975" cy="990600"/>
        </a:xfrm>
      </xdr:grpSpPr>
      <xdr:pic>
        <xdr:nvPicPr>
          <xdr:cNvPr id="896" name="29diamond">
            <a:extLst>
              <a:ext uri="{FF2B5EF4-FFF2-40B4-BE49-F238E27FC236}">
                <a16:creationId xmlns:a16="http://schemas.microsoft.com/office/drawing/2014/main" id="{00000000-0008-0000-0800-00008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7" name="30diamond">
            <a:extLst>
              <a:ext uri="{FF2B5EF4-FFF2-40B4-BE49-F238E27FC236}">
                <a16:creationId xmlns:a16="http://schemas.microsoft.com/office/drawing/2014/main" id="{00000000-0008-0000-0800-00008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8" name="31diamond">
            <a:extLst>
              <a:ext uri="{FF2B5EF4-FFF2-40B4-BE49-F238E27FC236}">
                <a16:creationId xmlns:a16="http://schemas.microsoft.com/office/drawing/2014/main" id="{00000000-0008-0000-0800-00008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99" name="32diamond">
            <a:extLst>
              <a:ext uri="{FF2B5EF4-FFF2-40B4-BE49-F238E27FC236}">
                <a16:creationId xmlns:a16="http://schemas.microsoft.com/office/drawing/2014/main" id="{00000000-0008-0000-0800-00008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33147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0" name="33diamond">
            <a:extLst>
              <a:ext uri="{FF2B5EF4-FFF2-40B4-BE49-F238E27FC236}">
                <a16:creationId xmlns:a16="http://schemas.microsoft.com/office/drawing/2014/main" id="{00000000-0008-0000-0800-00008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38481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1" name="34diamond">
            <a:extLst>
              <a:ext uri="{FF2B5EF4-FFF2-40B4-BE49-F238E27FC236}">
                <a16:creationId xmlns:a16="http://schemas.microsoft.com/office/drawing/2014/main" id="{00000000-0008-0000-0800-00008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2" name="35diamond">
            <a:extLst>
              <a:ext uri="{FF2B5EF4-FFF2-40B4-BE49-F238E27FC236}">
                <a16:creationId xmlns:a16="http://schemas.microsoft.com/office/drawing/2014/main" id="{00000000-0008-0000-0800-00008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3" name="36diamond">
            <a:extLst>
              <a:ext uri="{FF2B5EF4-FFF2-40B4-BE49-F238E27FC236}">
                <a16:creationId xmlns:a16="http://schemas.microsoft.com/office/drawing/2014/main" id="{00000000-0008-0000-0800-00008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68</xdr:col>
      <xdr:colOff>0</xdr:colOff>
      <xdr:row>21</xdr:row>
      <xdr:rowOff>0</xdr:rowOff>
    </xdr:from>
    <xdr:to>
      <xdr:col>70</xdr:col>
      <xdr:colOff>161925</xdr:colOff>
      <xdr:row>28</xdr:row>
      <xdr:rowOff>57150</xdr:rowOff>
    </xdr:to>
    <xdr:grpSp>
      <xdr:nvGrpSpPr>
        <xdr:cNvPr id="66" name="9 of diamond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GrpSpPr/>
      </xdr:nvGrpSpPr>
      <xdr:grpSpPr>
        <a:xfrm>
          <a:off x="16773525" y="3371850"/>
          <a:ext cx="561975" cy="1181100"/>
          <a:chOff x="16773525" y="3181350"/>
          <a:chExt cx="561975" cy="990600"/>
        </a:xfrm>
      </xdr:grpSpPr>
      <xdr:pic>
        <xdr:nvPicPr>
          <xdr:cNvPr id="905" name="37diamond">
            <a:extLst>
              <a:ext uri="{FF2B5EF4-FFF2-40B4-BE49-F238E27FC236}">
                <a16:creationId xmlns:a16="http://schemas.microsoft.com/office/drawing/2014/main" id="{00000000-0008-0000-0800-00008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6" name="38diamond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34480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7" name="39diamond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37147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8" name="40diamond">
            <a:extLst>
              <a:ext uri="{FF2B5EF4-FFF2-40B4-BE49-F238E27FC236}">
                <a16:creationId xmlns:a16="http://schemas.microsoft.com/office/drawing/2014/main" id="{00000000-0008-0000-0800-00008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09" name="41diamond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73550" y="35814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0" name="42diamond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1" name="43diamond">
            <a:extLst>
              <a:ext uri="{FF2B5EF4-FFF2-40B4-BE49-F238E27FC236}">
                <a16:creationId xmlns:a16="http://schemas.microsoft.com/office/drawing/2014/main" id="{00000000-0008-0000-0800-00008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34480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2" name="44diamond">
            <a:extLst>
              <a:ext uri="{FF2B5EF4-FFF2-40B4-BE49-F238E27FC236}">
                <a16:creationId xmlns:a16="http://schemas.microsoft.com/office/drawing/2014/main" id="{00000000-0008-0000-0800-00009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37147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3" name="45diamond">
            <a:extLst>
              <a:ext uri="{FF2B5EF4-FFF2-40B4-BE49-F238E27FC236}">
                <a16:creationId xmlns:a16="http://schemas.microsoft.com/office/drawing/2014/main" id="{00000000-0008-0000-0800-00009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74</xdr:col>
      <xdr:colOff>0</xdr:colOff>
      <xdr:row>21</xdr:row>
      <xdr:rowOff>0</xdr:rowOff>
    </xdr:from>
    <xdr:to>
      <xdr:col>76</xdr:col>
      <xdr:colOff>161925</xdr:colOff>
      <xdr:row>28</xdr:row>
      <xdr:rowOff>57150</xdr:rowOff>
    </xdr:to>
    <xdr:grpSp>
      <xdr:nvGrpSpPr>
        <xdr:cNvPr id="67" name="10 of diamond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/>
      </xdr:nvGrpSpPr>
      <xdr:grpSpPr>
        <a:xfrm>
          <a:off x="17926050" y="3371850"/>
          <a:ext cx="561975" cy="1181100"/>
          <a:chOff x="17926050" y="3181350"/>
          <a:chExt cx="561975" cy="990600"/>
        </a:xfrm>
      </xdr:grpSpPr>
      <xdr:pic>
        <xdr:nvPicPr>
          <xdr:cNvPr id="915" name="46diamond">
            <a:extLst>
              <a:ext uri="{FF2B5EF4-FFF2-40B4-BE49-F238E27FC236}">
                <a16:creationId xmlns:a16="http://schemas.microsoft.com/office/drawing/2014/main" id="{00000000-0008-0000-0800-00009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6" name="47diamond">
            <a:extLst>
              <a:ext uri="{FF2B5EF4-FFF2-40B4-BE49-F238E27FC236}">
                <a16:creationId xmlns:a16="http://schemas.microsoft.com/office/drawing/2014/main" id="{00000000-0008-0000-0800-00009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34480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7" name="48diamond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37147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8" name="49diamond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19" name="50diamond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33147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20" name="51diamond">
            <a:extLst>
              <a:ext uri="{FF2B5EF4-FFF2-40B4-BE49-F238E27FC236}">
                <a16:creationId xmlns:a16="http://schemas.microsoft.com/office/drawing/2014/main" id="{00000000-0008-0000-0800-00009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384810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21" name="52diamond">
            <a:extLst>
              <a:ext uri="{FF2B5EF4-FFF2-40B4-BE49-F238E27FC236}">
                <a16:creationId xmlns:a16="http://schemas.microsoft.com/office/drawing/2014/main" id="{00000000-0008-0000-0800-00009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31813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22" name="53diamond">
            <a:extLst>
              <a:ext uri="{FF2B5EF4-FFF2-40B4-BE49-F238E27FC236}">
                <a16:creationId xmlns:a16="http://schemas.microsoft.com/office/drawing/2014/main" id="{00000000-0008-0000-0800-00009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34480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23" name="54diamond">
            <a:extLst>
              <a:ext uri="{FF2B5EF4-FFF2-40B4-BE49-F238E27FC236}">
                <a16:creationId xmlns:a16="http://schemas.microsoft.com/office/drawing/2014/main" id="{00000000-0008-0000-0800-00009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37147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24" name="55diamond">
            <a:extLst>
              <a:ext uri="{FF2B5EF4-FFF2-40B4-BE49-F238E27FC236}">
                <a16:creationId xmlns:a16="http://schemas.microsoft.com/office/drawing/2014/main" id="{00000000-0008-0000-0800-00009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3981450"/>
            <a:ext cx="161925" cy="1905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21</xdr:col>
      <xdr:colOff>0</xdr:colOff>
      <xdr:row>33</xdr:row>
      <xdr:rowOff>209549</xdr:rowOff>
    </xdr:from>
    <xdr:to>
      <xdr:col>21</xdr:col>
      <xdr:colOff>161925</xdr:colOff>
      <xdr:row>35</xdr:row>
      <xdr:rowOff>74399</xdr:rowOff>
    </xdr:to>
    <xdr:pic>
      <xdr:nvPicPr>
        <xdr:cNvPr id="926" name="1 of heart">
          <a:extLst>
            <a:ext uri="{FF2B5EF4-FFF2-40B4-BE49-F238E27FC236}">
              <a16:creationId xmlns:a16="http://schemas.microsoft.com/office/drawing/2014/main" id="{00000000-0008-0000-08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5438774"/>
          <a:ext cx="161925" cy="226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27</xdr:col>
      <xdr:colOff>0</xdr:colOff>
      <xdr:row>31</xdr:row>
      <xdr:rowOff>0</xdr:rowOff>
    </xdr:from>
    <xdr:to>
      <xdr:col>27</xdr:col>
      <xdr:colOff>161925</xdr:colOff>
      <xdr:row>38</xdr:row>
      <xdr:rowOff>47625</xdr:rowOff>
    </xdr:to>
    <xdr:grpSp>
      <xdr:nvGrpSpPr>
        <xdr:cNvPr id="68" name="2 of heart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GrpSpPr/>
      </xdr:nvGrpSpPr>
      <xdr:grpSpPr>
        <a:xfrm>
          <a:off x="8924925" y="4962525"/>
          <a:ext cx="161925" cy="1171575"/>
          <a:chOff x="8924925" y="4581525"/>
          <a:chExt cx="161925" cy="981075"/>
        </a:xfrm>
      </xdr:grpSpPr>
      <xdr:pic>
        <xdr:nvPicPr>
          <xdr:cNvPr id="927" name="2heart">
            <a:extLst>
              <a:ext uri="{FF2B5EF4-FFF2-40B4-BE49-F238E27FC236}">
                <a16:creationId xmlns:a16="http://schemas.microsoft.com/office/drawing/2014/main" id="{00000000-0008-0000-0800-00009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28" name="3heart">
            <a:extLst>
              <a:ext uri="{FF2B5EF4-FFF2-40B4-BE49-F238E27FC236}">
                <a16:creationId xmlns:a16="http://schemas.microsoft.com/office/drawing/2014/main" id="{00000000-0008-0000-0800-0000A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33</xdr:col>
      <xdr:colOff>0</xdr:colOff>
      <xdr:row>31</xdr:row>
      <xdr:rowOff>0</xdr:rowOff>
    </xdr:from>
    <xdr:to>
      <xdr:col>33</xdr:col>
      <xdr:colOff>161925</xdr:colOff>
      <xdr:row>38</xdr:row>
      <xdr:rowOff>47625</xdr:rowOff>
    </xdr:to>
    <xdr:grpSp>
      <xdr:nvGrpSpPr>
        <xdr:cNvPr id="69" name="3 of heart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GrpSpPr/>
      </xdr:nvGrpSpPr>
      <xdr:grpSpPr>
        <a:xfrm>
          <a:off x="10077450" y="4962525"/>
          <a:ext cx="161925" cy="1171575"/>
          <a:chOff x="10077450" y="4581525"/>
          <a:chExt cx="161925" cy="981075"/>
        </a:xfrm>
      </xdr:grpSpPr>
      <xdr:pic>
        <xdr:nvPicPr>
          <xdr:cNvPr id="930" name="4heart">
            <a:extLst>
              <a:ext uri="{FF2B5EF4-FFF2-40B4-BE49-F238E27FC236}">
                <a16:creationId xmlns:a16="http://schemas.microsoft.com/office/drawing/2014/main" id="{00000000-0008-0000-0800-0000A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31" name="5heart">
            <a:extLst>
              <a:ext uri="{FF2B5EF4-FFF2-40B4-BE49-F238E27FC236}">
                <a16:creationId xmlns:a16="http://schemas.microsoft.com/office/drawing/2014/main" id="{00000000-0008-0000-0800-0000A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32" name="6heart">
            <a:extLst>
              <a:ext uri="{FF2B5EF4-FFF2-40B4-BE49-F238E27FC236}">
                <a16:creationId xmlns:a16="http://schemas.microsoft.com/office/drawing/2014/main" id="{00000000-0008-0000-0800-0000A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38</xdr:col>
      <xdr:colOff>0</xdr:colOff>
      <xdr:row>31</xdr:row>
      <xdr:rowOff>0</xdr:rowOff>
    </xdr:from>
    <xdr:to>
      <xdr:col>40</xdr:col>
      <xdr:colOff>161925</xdr:colOff>
      <xdr:row>38</xdr:row>
      <xdr:rowOff>47625</xdr:rowOff>
    </xdr:to>
    <xdr:grpSp>
      <xdr:nvGrpSpPr>
        <xdr:cNvPr id="70" name="4 of heart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GrpSpPr/>
      </xdr:nvGrpSpPr>
      <xdr:grpSpPr>
        <a:xfrm>
          <a:off x="11029950" y="4962525"/>
          <a:ext cx="561975" cy="1171575"/>
          <a:chOff x="11029950" y="4581525"/>
          <a:chExt cx="561975" cy="981075"/>
        </a:xfrm>
      </xdr:grpSpPr>
      <xdr:pic>
        <xdr:nvPicPr>
          <xdr:cNvPr id="934" name="7heart">
            <a:extLst>
              <a:ext uri="{FF2B5EF4-FFF2-40B4-BE49-F238E27FC236}">
                <a16:creationId xmlns:a16="http://schemas.microsoft.com/office/drawing/2014/main" id="{00000000-0008-0000-0800-0000A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35" name="8heart">
            <a:extLst>
              <a:ext uri="{FF2B5EF4-FFF2-40B4-BE49-F238E27FC236}">
                <a16:creationId xmlns:a16="http://schemas.microsoft.com/office/drawing/2014/main" id="{00000000-0008-0000-0800-0000A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36" name="9heart">
            <a:extLst>
              <a:ext uri="{FF2B5EF4-FFF2-40B4-BE49-F238E27FC236}">
                <a16:creationId xmlns:a16="http://schemas.microsoft.com/office/drawing/2014/main" id="{00000000-0008-0000-0800-0000A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37" name="10heart">
            <a:extLst>
              <a:ext uri="{FF2B5EF4-FFF2-40B4-BE49-F238E27FC236}">
                <a16:creationId xmlns:a16="http://schemas.microsoft.com/office/drawing/2014/main" id="{00000000-0008-0000-0800-0000A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44</xdr:col>
      <xdr:colOff>0</xdr:colOff>
      <xdr:row>31</xdr:row>
      <xdr:rowOff>0</xdr:rowOff>
    </xdr:from>
    <xdr:to>
      <xdr:col>46</xdr:col>
      <xdr:colOff>161925</xdr:colOff>
      <xdr:row>38</xdr:row>
      <xdr:rowOff>47625</xdr:rowOff>
    </xdr:to>
    <xdr:grpSp>
      <xdr:nvGrpSpPr>
        <xdr:cNvPr id="71" name="5 of heart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GrpSpPr/>
      </xdr:nvGrpSpPr>
      <xdr:grpSpPr>
        <a:xfrm>
          <a:off x="12172950" y="4962525"/>
          <a:ext cx="561975" cy="1171575"/>
          <a:chOff x="12172950" y="4581525"/>
          <a:chExt cx="561975" cy="981075"/>
        </a:xfrm>
      </xdr:grpSpPr>
      <xdr:pic>
        <xdr:nvPicPr>
          <xdr:cNvPr id="939" name="11heart">
            <a:extLst>
              <a:ext uri="{FF2B5EF4-FFF2-40B4-BE49-F238E27FC236}">
                <a16:creationId xmlns:a16="http://schemas.microsoft.com/office/drawing/2014/main" id="{00000000-0008-0000-0800-0000A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0" name="12heart">
            <a:extLst>
              <a:ext uri="{FF2B5EF4-FFF2-40B4-BE49-F238E27FC236}">
                <a16:creationId xmlns:a16="http://schemas.microsoft.com/office/drawing/2014/main" id="{00000000-0008-0000-0800-0000A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1" name="13heart">
            <a:extLst>
              <a:ext uri="{FF2B5EF4-FFF2-40B4-BE49-F238E27FC236}">
                <a16:creationId xmlns:a16="http://schemas.microsoft.com/office/drawing/2014/main" id="{00000000-0008-0000-0800-0000A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72975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2" name="14heart">
            <a:extLst>
              <a:ext uri="{FF2B5EF4-FFF2-40B4-BE49-F238E27FC236}">
                <a16:creationId xmlns:a16="http://schemas.microsoft.com/office/drawing/2014/main" id="{00000000-0008-0000-0800-0000A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3" name="15heart">
            <a:extLst>
              <a:ext uri="{FF2B5EF4-FFF2-40B4-BE49-F238E27FC236}">
                <a16:creationId xmlns:a16="http://schemas.microsoft.com/office/drawing/2014/main" id="{00000000-0008-0000-0800-0000A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50</xdr:col>
      <xdr:colOff>0</xdr:colOff>
      <xdr:row>31</xdr:row>
      <xdr:rowOff>0</xdr:rowOff>
    </xdr:from>
    <xdr:to>
      <xdr:col>52</xdr:col>
      <xdr:colOff>161925</xdr:colOff>
      <xdr:row>38</xdr:row>
      <xdr:rowOff>47625</xdr:rowOff>
    </xdr:to>
    <xdr:grpSp>
      <xdr:nvGrpSpPr>
        <xdr:cNvPr id="72" name="6 of heart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GrpSpPr/>
      </xdr:nvGrpSpPr>
      <xdr:grpSpPr>
        <a:xfrm>
          <a:off x="13325475" y="4962525"/>
          <a:ext cx="561975" cy="1171575"/>
          <a:chOff x="13325475" y="4581525"/>
          <a:chExt cx="561975" cy="981075"/>
        </a:xfrm>
      </xdr:grpSpPr>
      <xdr:pic>
        <xdr:nvPicPr>
          <xdr:cNvPr id="945" name="16heart">
            <a:extLst>
              <a:ext uri="{FF2B5EF4-FFF2-40B4-BE49-F238E27FC236}">
                <a16:creationId xmlns:a16="http://schemas.microsoft.com/office/drawing/2014/main" id="{00000000-0008-0000-0800-0000B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6" name="17heart">
            <a:extLst>
              <a:ext uri="{FF2B5EF4-FFF2-40B4-BE49-F238E27FC236}">
                <a16:creationId xmlns:a16="http://schemas.microsoft.com/office/drawing/2014/main" id="{00000000-0008-0000-0800-0000B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7" name="18heart">
            <a:extLst>
              <a:ext uri="{FF2B5EF4-FFF2-40B4-BE49-F238E27FC236}">
                <a16:creationId xmlns:a16="http://schemas.microsoft.com/office/drawing/2014/main" id="{00000000-0008-0000-0800-0000B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8" name="19heart">
            <a:extLst>
              <a:ext uri="{FF2B5EF4-FFF2-40B4-BE49-F238E27FC236}">
                <a16:creationId xmlns:a16="http://schemas.microsoft.com/office/drawing/2014/main" id="{00000000-0008-0000-0800-0000B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49" name="20heart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0" name="21heart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56</xdr:col>
      <xdr:colOff>0</xdr:colOff>
      <xdr:row>31</xdr:row>
      <xdr:rowOff>0</xdr:rowOff>
    </xdr:from>
    <xdr:to>
      <xdr:col>58</xdr:col>
      <xdr:colOff>161925</xdr:colOff>
      <xdr:row>38</xdr:row>
      <xdr:rowOff>47625</xdr:rowOff>
    </xdr:to>
    <xdr:grpSp>
      <xdr:nvGrpSpPr>
        <xdr:cNvPr id="73" name="7 of heart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GrpSpPr/>
      </xdr:nvGrpSpPr>
      <xdr:grpSpPr>
        <a:xfrm>
          <a:off x="14478000" y="4962525"/>
          <a:ext cx="561975" cy="1171575"/>
          <a:chOff x="14478000" y="4581525"/>
          <a:chExt cx="561975" cy="981075"/>
        </a:xfrm>
      </xdr:grpSpPr>
      <xdr:pic>
        <xdr:nvPicPr>
          <xdr:cNvPr id="952" name="22heart">
            <a:extLst>
              <a:ext uri="{FF2B5EF4-FFF2-40B4-BE49-F238E27FC236}">
                <a16:creationId xmlns:a16="http://schemas.microsoft.com/office/drawing/2014/main" id="{00000000-0008-0000-0800-0000B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3" name="23heart">
            <a:extLst>
              <a:ext uri="{FF2B5EF4-FFF2-40B4-BE49-F238E27FC236}">
                <a16:creationId xmlns:a16="http://schemas.microsoft.com/office/drawing/2014/main" id="{00000000-0008-0000-0800-0000B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4" name="24heart">
            <a:extLst>
              <a:ext uri="{FF2B5EF4-FFF2-40B4-BE49-F238E27FC236}">
                <a16:creationId xmlns:a16="http://schemas.microsoft.com/office/drawing/2014/main" id="{00000000-0008-0000-0800-0000B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5" name="25heart">
            <a:extLst>
              <a:ext uri="{FF2B5EF4-FFF2-40B4-BE49-F238E27FC236}">
                <a16:creationId xmlns:a16="http://schemas.microsoft.com/office/drawing/2014/main" id="{00000000-0008-0000-0800-0000B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678025" y="47148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6" name="26heart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7" name="27heart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58" name="28heart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62</xdr:col>
      <xdr:colOff>0</xdr:colOff>
      <xdr:row>31</xdr:row>
      <xdr:rowOff>0</xdr:rowOff>
    </xdr:from>
    <xdr:to>
      <xdr:col>64</xdr:col>
      <xdr:colOff>161925</xdr:colOff>
      <xdr:row>38</xdr:row>
      <xdr:rowOff>47625</xdr:rowOff>
    </xdr:to>
    <xdr:grpSp>
      <xdr:nvGrpSpPr>
        <xdr:cNvPr id="74" name="8 of heart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GrpSpPr/>
      </xdr:nvGrpSpPr>
      <xdr:grpSpPr>
        <a:xfrm>
          <a:off x="15630525" y="4962525"/>
          <a:ext cx="561975" cy="1171575"/>
          <a:chOff x="15630525" y="4581525"/>
          <a:chExt cx="561975" cy="981075"/>
        </a:xfrm>
      </xdr:grpSpPr>
      <xdr:pic>
        <xdr:nvPicPr>
          <xdr:cNvPr id="960" name="29heart">
            <a:extLst>
              <a:ext uri="{FF2B5EF4-FFF2-40B4-BE49-F238E27FC236}">
                <a16:creationId xmlns:a16="http://schemas.microsoft.com/office/drawing/2014/main" id="{00000000-0008-0000-0800-0000C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1" name="30heart">
            <a:extLst>
              <a:ext uri="{FF2B5EF4-FFF2-40B4-BE49-F238E27FC236}">
                <a16:creationId xmlns:a16="http://schemas.microsoft.com/office/drawing/2014/main" id="{00000000-0008-0000-0800-0000C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2" name="31heart">
            <a:extLst>
              <a:ext uri="{FF2B5EF4-FFF2-40B4-BE49-F238E27FC236}">
                <a16:creationId xmlns:a16="http://schemas.microsoft.com/office/drawing/2014/main" id="{00000000-0008-0000-0800-0000C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3" name="32heart">
            <a:extLst>
              <a:ext uri="{FF2B5EF4-FFF2-40B4-BE49-F238E27FC236}">
                <a16:creationId xmlns:a16="http://schemas.microsoft.com/office/drawing/2014/main" id="{00000000-0008-0000-0800-0000C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47148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4" name="33heart">
            <a:extLst>
              <a:ext uri="{FF2B5EF4-FFF2-40B4-BE49-F238E27FC236}">
                <a16:creationId xmlns:a16="http://schemas.microsoft.com/office/drawing/2014/main" id="{00000000-0008-0000-0800-0000C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52482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5" name="34heart">
            <a:extLst>
              <a:ext uri="{FF2B5EF4-FFF2-40B4-BE49-F238E27FC236}">
                <a16:creationId xmlns:a16="http://schemas.microsoft.com/office/drawing/2014/main" id="{00000000-0008-0000-0800-0000C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6" name="35heart">
            <a:extLst>
              <a:ext uri="{FF2B5EF4-FFF2-40B4-BE49-F238E27FC236}">
                <a16:creationId xmlns:a16="http://schemas.microsoft.com/office/drawing/2014/main" id="{00000000-0008-0000-0800-0000C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67" name="36heart">
            <a:extLst>
              <a:ext uri="{FF2B5EF4-FFF2-40B4-BE49-F238E27FC236}">
                <a16:creationId xmlns:a16="http://schemas.microsoft.com/office/drawing/2014/main" id="{00000000-0008-0000-0800-0000C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68</xdr:col>
      <xdr:colOff>0</xdr:colOff>
      <xdr:row>31</xdr:row>
      <xdr:rowOff>0</xdr:rowOff>
    </xdr:from>
    <xdr:to>
      <xdr:col>70</xdr:col>
      <xdr:colOff>161925</xdr:colOff>
      <xdr:row>38</xdr:row>
      <xdr:rowOff>47625</xdr:rowOff>
    </xdr:to>
    <xdr:grpSp>
      <xdr:nvGrpSpPr>
        <xdr:cNvPr id="75" name="9 of heart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GrpSpPr/>
      </xdr:nvGrpSpPr>
      <xdr:grpSpPr>
        <a:xfrm>
          <a:off x="16773525" y="4962525"/>
          <a:ext cx="561975" cy="1171575"/>
          <a:chOff x="16773525" y="4581525"/>
          <a:chExt cx="561975" cy="981075"/>
        </a:xfrm>
      </xdr:grpSpPr>
      <xdr:pic>
        <xdr:nvPicPr>
          <xdr:cNvPr id="969" name="37heart">
            <a:extLst>
              <a:ext uri="{FF2B5EF4-FFF2-40B4-BE49-F238E27FC236}">
                <a16:creationId xmlns:a16="http://schemas.microsoft.com/office/drawing/2014/main" id="{00000000-0008-0000-0800-0000C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0" name="38heart">
            <a:extLst>
              <a:ext uri="{FF2B5EF4-FFF2-40B4-BE49-F238E27FC236}">
                <a16:creationId xmlns:a16="http://schemas.microsoft.com/office/drawing/2014/main" id="{00000000-0008-0000-0800-0000C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48482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1" name="39heart">
            <a:extLst>
              <a:ext uri="{FF2B5EF4-FFF2-40B4-BE49-F238E27FC236}">
                <a16:creationId xmlns:a16="http://schemas.microsoft.com/office/drawing/2014/main" id="{00000000-0008-0000-0800-0000C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51149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2" name="40heart">
            <a:extLst>
              <a:ext uri="{FF2B5EF4-FFF2-40B4-BE49-F238E27FC236}">
                <a16:creationId xmlns:a16="http://schemas.microsoft.com/office/drawing/2014/main" id="{00000000-0008-0000-0800-0000C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3" name="41heart">
            <a:extLst>
              <a:ext uri="{FF2B5EF4-FFF2-40B4-BE49-F238E27FC236}">
                <a16:creationId xmlns:a16="http://schemas.microsoft.com/office/drawing/2014/main" id="{00000000-0008-0000-0800-0000C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73550" y="49815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4" name="42heart">
            <a:extLst>
              <a:ext uri="{FF2B5EF4-FFF2-40B4-BE49-F238E27FC236}">
                <a16:creationId xmlns:a16="http://schemas.microsoft.com/office/drawing/2014/main" id="{00000000-0008-0000-0800-0000C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5" name="43heart">
            <a:extLst>
              <a:ext uri="{FF2B5EF4-FFF2-40B4-BE49-F238E27FC236}">
                <a16:creationId xmlns:a16="http://schemas.microsoft.com/office/drawing/2014/main" id="{00000000-0008-0000-0800-0000C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48482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6" name="44heart">
            <a:extLst>
              <a:ext uri="{FF2B5EF4-FFF2-40B4-BE49-F238E27FC236}">
                <a16:creationId xmlns:a16="http://schemas.microsoft.com/office/drawing/2014/main" id="{00000000-0008-0000-0800-0000D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51149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77" name="45heart">
            <a:extLst>
              <a:ext uri="{FF2B5EF4-FFF2-40B4-BE49-F238E27FC236}">
                <a16:creationId xmlns:a16="http://schemas.microsoft.com/office/drawing/2014/main" id="{00000000-0008-0000-0800-0000D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74</xdr:col>
      <xdr:colOff>0</xdr:colOff>
      <xdr:row>31</xdr:row>
      <xdr:rowOff>0</xdr:rowOff>
    </xdr:from>
    <xdr:to>
      <xdr:col>76</xdr:col>
      <xdr:colOff>161925</xdr:colOff>
      <xdr:row>38</xdr:row>
      <xdr:rowOff>47625</xdr:rowOff>
    </xdr:to>
    <xdr:grpSp>
      <xdr:nvGrpSpPr>
        <xdr:cNvPr id="76" name="10 of heart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GrpSpPr/>
      </xdr:nvGrpSpPr>
      <xdr:grpSpPr>
        <a:xfrm>
          <a:off x="17926050" y="4962525"/>
          <a:ext cx="561975" cy="1171575"/>
          <a:chOff x="17926050" y="4581525"/>
          <a:chExt cx="561975" cy="981075"/>
        </a:xfrm>
      </xdr:grpSpPr>
      <xdr:pic>
        <xdr:nvPicPr>
          <xdr:cNvPr id="979" name="46heart">
            <a:extLst>
              <a:ext uri="{FF2B5EF4-FFF2-40B4-BE49-F238E27FC236}">
                <a16:creationId xmlns:a16="http://schemas.microsoft.com/office/drawing/2014/main" id="{00000000-0008-0000-0800-0000D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0" name="47heart">
            <a:extLst>
              <a:ext uri="{FF2B5EF4-FFF2-40B4-BE49-F238E27FC236}">
                <a16:creationId xmlns:a16="http://schemas.microsoft.com/office/drawing/2014/main" id="{00000000-0008-0000-0800-0000D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48482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1" name="48heart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51149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2" name="49heart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3" name="50heart">
            <a:extLst>
              <a:ext uri="{FF2B5EF4-FFF2-40B4-BE49-F238E27FC236}">
                <a16:creationId xmlns:a16="http://schemas.microsoft.com/office/drawing/2014/main" id="{00000000-0008-0000-0800-0000D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47148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4" name="51heart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524827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5" name="52heart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45815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6" name="53heart">
            <a:extLst>
              <a:ext uri="{FF2B5EF4-FFF2-40B4-BE49-F238E27FC236}">
                <a16:creationId xmlns:a16="http://schemas.microsoft.com/office/drawing/2014/main" id="{00000000-0008-0000-0800-0000D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48482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7" name="54heart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51149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88" name="55heart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5381625"/>
            <a:ext cx="161925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21</xdr:col>
      <xdr:colOff>0</xdr:colOff>
      <xdr:row>43</xdr:row>
      <xdr:rowOff>219074</xdr:rowOff>
    </xdr:from>
    <xdr:to>
      <xdr:col>21</xdr:col>
      <xdr:colOff>190500</xdr:colOff>
      <xdr:row>45</xdr:row>
      <xdr:rowOff>83924</xdr:rowOff>
    </xdr:to>
    <xdr:pic>
      <xdr:nvPicPr>
        <xdr:cNvPr id="990" name="1 of club">
          <a:extLst>
            <a:ext uri="{FF2B5EF4-FFF2-40B4-BE49-F238E27FC236}">
              <a16:creationId xmlns:a16="http://schemas.microsoft.com/office/drawing/2014/main" id="{00000000-0008-0000-08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0" y="7029449"/>
          <a:ext cx="190500" cy="226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27</xdr:col>
      <xdr:colOff>0</xdr:colOff>
      <xdr:row>41</xdr:row>
      <xdr:rowOff>0</xdr:rowOff>
    </xdr:from>
    <xdr:to>
      <xdr:col>27</xdr:col>
      <xdr:colOff>190500</xdr:colOff>
      <xdr:row>48</xdr:row>
      <xdr:rowOff>47625</xdr:rowOff>
    </xdr:to>
    <xdr:grpSp>
      <xdr:nvGrpSpPr>
        <xdr:cNvPr id="77" name="2 of club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GrpSpPr/>
      </xdr:nvGrpSpPr>
      <xdr:grpSpPr>
        <a:xfrm>
          <a:off x="8924925" y="6543675"/>
          <a:ext cx="190500" cy="1171575"/>
          <a:chOff x="8924925" y="5972175"/>
          <a:chExt cx="190500" cy="981075"/>
        </a:xfrm>
      </xdr:grpSpPr>
      <xdr:pic>
        <xdr:nvPicPr>
          <xdr:cNvPr id="991" name="2club">
            <a:extLst>
              <a:ext uri="{FF2B5EF4-FFF2-40B4-BE49-F238E27FC236}">
                <a16:creationId xmlns:a16="http://schemas.microsoft.com/office/drawing/2014/main" id="{00000000-0008-0000-0800-0000D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92" name="3club">
            <a:extLst>
              <a:ext uri="{FF2B5EF4-FFF2-40B4-BE49-F238E27FC236}">
                <a16:creationId xmlns:a16="http://schemas.microsoft.com/office/drawing/2014/main" id="{00000000-0008-0000-0800-0000E0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2492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33</xdr:col>
      <xdr:colOff>0</xdr:colOff>
      <xdr:row>41</xdr:row>
      <xdr:rowOff>0</xdr:rowOff>
    </xdr:from>
    <xdr:to>
      <xdr:col>33</xdr:col>
      <xdr:colOff>190500</xdr:colOff>
      <xdr:row>48</xdr:row>
      <xdr:rowOff>47625</xdr:rowOff>
    </xdr:to>
    <xdr:grpSp>
      <xdr:nvGrpSpPr>
        <xdr:cNvPr id="78" name="3 of club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GrpSpPr/>
      </xdr:nvGrpSpPr>
      <xdr:grpSpPr>
        <a:xfrm>
          <a:off x="10077450" y="6543675"/>
          <a:ext cx="190500" cy="1171575"/>
          <a:chOff x="10077450" y="5972175"/>
          <a:chExt cx="190500" cy="981075"/>
        </a:xfrm>
      </xdr:grpSpPr>
      <xdr:pic>
        <xdr:nvPicPr>
          <xdr:cNvPr id="994" name="4club">
            <a:extLst>
              <a:ext uri="{FF2B5EF4-FFF2-40B4-BE49-F238E27FC236}">
                <a16:creationId xmlns:a16="http://schemas.microsoft.com/office/drawing/2014/main" id="{00000000-0008-0000-0800-0000E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95" name="5club">
            <a:extLst>
              <a:ext uri="{FF2B5EF4-FFF2-40B4-BE49-F238E27FC236}">
                <a16:creationId xmlns:a16="http://schemas.microsoft.com/office/drawing/2014/main" id="{00000000-0008-0000-0800-0000E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96" name="6club">
            <a:extLst>
              <a:ext uri="{FF2B5EF4-FFF2-40B4-BE49-F238E27FC236}">
                <a16:creationId xmlns:a16="http://schemas.microsoft.com/office/drawing/2014/main" id="{00000000-0008-0000-0800-0000E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7745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38</xdr:col>
      <xdr:colOff>0</xdr:colOff>
      <xdr:row>41</xdr:row>
      <xdr:rowOff>0</xdr:rowOff>
    </xdr:from>
    <xdr:to>
      <xdr:col>40</xdr:col>
      <xdr:colOff>190500</xdr:colOff>
      <xdr:row>48</xdr:row>
      <xdr:rowOff>47625</xdr:rowOff>
    </xdr:to>
    <xdr:grpSp>
      <xdr:nvGrpSpPr>
        <xdr:cNvPr id="79" name="4 of club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/>
      </xdr:nvGrpSpPr>
      <xdr:grpSpPr>
        <a:xfrm>
          <a:off x="11029950" y="6543675"/>
          <a:ext cx="590550" cy="1171575"/>
          <a:chOff x="11029950" y="5972175"/>
          <a:chExt cx="590550" cy="981075"/>
        </a:xfrm>
      </xdr:grpSpPr>
      <xdr:pic>
        <xdr:nvPicPr>
          <xdr:cNvPr id="998" name="7club">
            <a:extLst>
              <a:ext uri="{FF2B5EF4-FFF2-40B4-BE49-F238E27FC236}">
                <a16:creationId xmlns:a16="http://schemas.microsoft.com/office/drawing/2014/main" id="{00000000-0008-0000-0800-0000E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99" name="8club">
            <a:extLst>
              <a:ext uri="{FF2B5EF4-FFF2-40B4-BE49-F238E27FC236}">
                <a16:creationId xmlns:a16="http://schemas.microsoft.com/office/drawing/2014/main" id="{00000000-0008-0000-0800-0000E7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995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00" name="9club">
            <a:extLst>
              <a:ext uri="{FF2B5EF4-FFF2-40B4-BE49-F238E27FC236}">
                <a16:creationId xmlns:a16="http://schemas.microsoft.com/office/drawing/2014/main" id="{00000000-0008-0000-0800-0000E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01" name="10club">
            <a:extLst>
              <a:ext uri="{FF2B5EF4-FFF2-40B4-BE49-F238E27FC236}">
                <a16:creationId xmlns:a16="http://schemas.microsoft.com/office/drawing/2014/main" id="{00000000-0008-0000-0800-0000E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44</xdr:col>
      <xdr:colOff>0</xdr:colOff>
      <xdr:row>41</xdr:row>
      <xdr:rowOff>0</xdr:rowOff>
    </xdr:from>
    <xdr:to>
      <xdr:col>46</xdr:col>
      <xdr:colOff>190500</xdr:colOff>
      <xdr:row>48</xdr:row>
      <xdr:rowOff>47625</xdr:rowOff>
    </xdr:to>
    <xdr:grpSp>
      <xdr:nvGrpSpPr>
        <xdr:cNvPr id="80" name="5 of club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GrpSpPr/>
      </xdr:nvGrpSpPr>
      <xdr:grpSpPr>
        <a:xfrm>
          <a:off x="12172950" y="6543675"/>
          <a:ext cx="590550" cy="1171575"/>
          <a:chOff x="12172950" y="5972175"/>
          <a:chExt cx="590550" cy="981075"/>
        </a:xfrm>
      </xdr:grpSpPr>
      <xdr:pic>
        <xdr:nvPicPr>
          <xdr:cNvPr id="1003" name="11club">
            <a:extLst>
              <a:ext uri="{FF2B5EF4-FFF2-40B4-BE49-F238E27FC236}">
                <a16:creationId xmlns:a16="http://schemas.microsoft.com/office/drawing/2014/main" id="{00000000-0008-0000-0800-0000E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04" name="12club">
            <a:extLst>
              <a:ext uri="{FF2B5EF4-FFF2-40B4-BE49-F238E27FC236}">
                <a16:creationId xmlns:a16="http://schemas.microsoft.com/office/drawing/2014/main" id="{00000000-0008-0000-0800-0000E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17295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05" name="13club">
            <a:extLst>
              <a:ext uri="{FF2B5EF4-FFF2-40B4-BE49-F238E27FC236}">
                <a16:creationId xmlns:a16="http://schemas.microsoft.com/office/drawing/2014/main" id="{00000000-0008-0000-0800-0000E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72975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06" name="14club">
            <a:extLst>
              <a:ext uri="{FF2B5EF4-FFF2-40B4-BE49-F238E27FC236}">
                <a16:creationId xmlns:a16="http://schemas.microsoft.com/office/drawing/2014/main" id="{00000000-0008-0000-0800-0000E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07" name="15club">
            <a:extLst>
              <a:ext uri="{FF2B5EF4-FFF2-40B4-BE49-F238E27FC236}">
                <a16:creationId xmlns:a16="http://schemas.microsoft.com/office/drawing/2014/main" id="{00000000-0008-0000-0800-0000EF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7300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50</xdr:col>
      <xdr:colOff>0</xdr:colOff>
      <xdr:row>41</xdr:row>
      <xdr:rowOff>0</xdr:rowOff>
    </xdr:from>
    <xdr:to>
      <xdr:col>52</xdr:col>
      <xdr:colOff>190500</xdr:colOff>
      <xdr:row>48</xdr:row>
      <xdr:rowOff>47625</xdr:rowOff>
    </xdr:to>
    <xdr:grpSp>
      <xdr:nvGrpSpPr>
        <xdr:cNvPr id="81" name="6 of club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GrpSpPr/>
      </xdr:nvGrpSpPr>
      <xdr:grpSpPr>
        <a:xfrm>
          <a:off x="13325475" y="6543675"/>
          <a:ext cx="590550" cy="1171575"/>
          <a:chOff x="13325475" y="5972175"/>
          <a:chExt cx="590550" cy="981075"/>
        </a:xfrm>
      </xdr:grpSpPr>
      <xdr:pic>
        <xdr:nvPicPr>
          <xdr:cNvPr id="1009" name="16club">
            <a:extLst>
              <a:ext uri="{FF2B5EF4-FFF2-40B4-BE49-F238E27FC236}">
                <a16:creationId xmlns:a16="http://schemas.microsoft.com/office/drawing/2014/main" id="{00000000-0008-0000-0800-0000F1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0" name="17club">
            <a:extLst>
              <a:ext uri="{FF2B5EF4-FFF2-40B4-BE49-F238E27FC236}">
                <a16:creationId xmlns:a16="http://schemas.microsoft.com/office/drawing/2014/main" id="{00000000-0008-0000-0800-0000F2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1" name="18club">
            <a:extLst>
              <a:ext uri="{FF2B5EF4-FFF2-40B4-BE49-F238E27FC236}">
                <a16:creationId xmlns:a16="http://schemas.microsoft.com/office/drawing/2014/main" id="{00000000-0008-0000-0800-0000F3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2547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2" name="19club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3" name="20club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4" name="21club">
            <a:extLst>
              <a:ext uri="{FF2B5EF4-FFF2-40B4-BE49-F238E27FC236}">
                <a16:creationId xmlns:a16="http://schemas.microsoft.com/office/drawing/2014/main" id="{00000000-0008-0000-0800-0000F6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72552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56</xdr:col>
      <xdr:colOff>0</xdr:colOff>
      <xdr:row>41</xdr:row>
      <xdr:rowOff>0</xdr:rowOff>
    </xdr:from>
    <xdr:to>
      <xdr:col>58</xdr:col>
      <xdr:colOff>190500</xdr:colOff>
      <xdr:row>48</xdr:row>
      <xdr:rowOff>47625</xdr:rowOff>
    </xdr:to>
    <xdr:grpSp>
      <xdr:nvGrpSpPr>
        <xdr:cNvPr id="82" name="7 of club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/>
      </xdr:nvGrpSpPr>
      <xdr:grpSpPr>
        <a:xfrm>
          <a:off x="14478000" y="6543675"/>
          <a:ext cx="590550" cy="1171575"/>
          <a:chOff x="14478000" y="5972175"/>
          <a:chExt cx="590550" cy="981075"/>
        </a:xfrm>
      </xdr:grpSpPr>
      <xdr:pic>
        <xdr:nvPicPr>
          <xdr:cNvPr id="1016" name="22club">
            <a:extLst>
              <a:ext uri="{FF2B5EF4-FFF2-40B4-BE49-F238E27FC236}">
                <a16:creationId xmlns:a16="http://schemas.microsoft.com/office/drawing/2014/main" id="{00000000-0008-0000-0800-0000F8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7" name="23club">
            <a:extLst>
              <a:ext uri="{FF2B5EF4-FFF2-40B4-BE49-F238E27FC236}">
                <a16:creationId xmlns:a16="http://schemas.microsoft.com/office/drawing/2014/main" id="{00000000-0008-0000-0800-0000F9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8" name="24club">
            <a:extLst>
              <a:ext uri="{FF2B5EF4-FFF2-40B4-BE49-F238E27FC236}">
                <a16:creationId xmlns:a16="http://schemas.microsoft.com/office/drawing/2014/main" id="{00000000-0008-0000-0800-0000FA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7800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19" name="25club">
            <a:extLst>
              <a:ext uri="{FF2B5EF4-FFF2-40B4-BE49-F238E27FC236}">
                <a16:creationId xmlns:a16="http://schemas.microsoft.com/office/drawing/2014/main" id="{00000000-0008-0000-0800-0000FB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678025" y="61055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0" name="26club">
            <a:extLst>
              <a:ext uri="{FF2B5EF4-FFF2-40B4-BE49-F238E27FC236}">
                <a16:creationId xmlns:a16="http://schemas.microsoft.com/office/drawing/2014/main" id="{00000000-0008-0000-0800-0000FC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1" name="27club">
            <a:extLst>
              <a:ext uri="{FF2B5EF4-FFF2-40B4-BE49-F238E27FC236}">
                <a16:creationId xmlns:a16="http://schemas.microsoft.com/office/drawing/2014/main" id="{00000000-0008-0000-0800-0000FD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2" name="28club">
            <a:extLst>
              <a:ext uri="{FF2B5EF4-FFF2-40B4-BE49-F238E27FC236}">
                <a16:creationId xmlns:a16="http://schemas.microsoft.com/office/drawing/2014/main" id="{00000000-0008-0000-0800-0000FE03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87805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62</xdr:col>
      <xdr:colOff>0</xdr:colOff>
      <xdr:row>41</xdr:row>
      <xdr:rowOff>0</xdr:rowOff>
    </xdr:from>
    <xdr:to>
      <xdr:col>64</xdr:col>
      <xdr:colOff>190500</xdr:colOff>
      <xdr:row>48</xdr:row>
      <xdr:rowOff>47625</xdr:rowOff>
    </xdr:to>
    <xdr:grpSp>
      <xdr:nvGrpSpPr>
        <xdr:cNvPr id="86" name="8 of club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GrpSpPr/>
      </xdr:nvGrpSpPr>
      <xdr:grpSpPr>
        <a:xfrm>
          <a:off x="15630525" y="6543675"/>
          <a:ext cx="590550" cy="1171575"/>
          <a:chOff x="15630525" y="5972175"/>
          <a:chExt cx="590550" cy="981075"/>
        </a:xfrm>
      </xdr:grpSpPr>
      <xdr:pic>
        <xdr:nvPicPr>
          <xdr:cNvPr id="1024" name="29club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5" name="30club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6" name="31club">
            <a:extLst>
              <a:ext uri="{FF2B5EF4-FFF2-40B4-BE49-F238E27FC236}">
                <a16:creationId xmlns:a16="http://schemas.microsoft.com/office/drawing/2014/main" id="{00000000-0008-0000-0800-000002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3052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7" name="32club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61055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8" name="33club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830550" y="66389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29" name="34club">
            <a:extLst>
              <a:ext uri="{FF2B5EF4-FFF2-40B4-BE49-F238E27FC236}">
                <a16:creationId xmlns:a16="http://schemas.microsoft.com/office/drawing/2014/main" id="{00000000-0008-0000-0800-000005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0" name="35club">
            <a:extLst>
              <a:ext uri="{FF2B5EF4-FFF2-40B4-BE49-F238E27FC236}">
                <a16:creationId xmlns:a16="http://schemas.microsoft.com/office/drawing/2014/main" id="{00000000-0008-0000-0800-000006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1" name="36club">
            <a:extLst>
              <a:ext uri="{FF2B5EF4-FFF2-40B4-BE49-F238E27FC236}">
                <a16:creationId xmlns:a16="http://schemas.microsoft.com/office/drawing/2014/main" id="{00000000-0008-0000-0800-000007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03057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68</xdr:col>
      <xdr:colOff>0</xdr:colOff>
      <xdr:row>41</xdr:row>
      <xdr:rowOff>0</xdr:rowOff>
    </xdr:from>
    <xdr:to>
      <xdr:col>70</xdr:col>
      <xdr:colOff>190500</xdr:colOff>
      <xdr:row>48</xdr:row>
      <xdr:rowOff>47625</xdr:rowOff>
    </xdr:to>
    <xdr:grpSp>
      <xdr:nvGrpSpPr>
        <xdr:cNvPr id="91" name="9 of club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GrpSpPr/>
      </xdr:nvGrpSpPr>
      <xdr:grpSpPr>
        <a:xfrm>
          <a:off x="16773525" y="6543675"/>
          <a:ext cx="590550" cy="1171575"/>
          <a:chOff x="16773525" y="5972175"/>
          <a:chExt cx="590550" cy="981075"/>
        </a:xfrm>
      </xdr:grpSpPr>
      <xdr:pic>
        <xdr:nvPicPr>
          <xdr:cNvPr id="1033" name="37club">
            <a:extLst>
              <a:ext uri="{FF2B5EF4-FFF2-40B4-BE49-F238E27FC236}">
                <a16:creationId xmlns:a16="http://schemas.microsoft.com/office/drawing/2014/main" id="{00000000-0008-0000-0800-000009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4" name="38club">
            <a:extLst>
              <a:ext uri="{FF2B5EF4-FFF2-40B4-BE49-F238E27FC236}">
                <a16:creationId xmlns:a16="http://schemas.microsoft.com/office/drawing/2014/main" id="{00000000-0008-0000-0800-00000A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62388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5" name="39club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65055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6" name="40club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77352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7" name="41club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73550" y="63722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8" name="42club">
            <a:extLst>
              <a:ext uri="{FF2B5EF4-FFF2-40B4-BE49-F238E27FC236}">
                <a16:creationId xmlns:a16="http://schemas.microsoft.com/office/drawing/2014/main" id="{00000000-0008-0000-0800-00000E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39" name="43club">
            <a:extLst>
              <a:ext uri="{FF2B5EF4-FFF2-40B4-BE49-F238E27FC236}">
                <a16:creationId xmlns:a16="http://schemas.microsoft.com/office/drawing/2014/main" id="{00000000-0008-0000-0800-00000F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62388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0" name="44club">
            <a:extLst>
              <a:ext uri="{FF2B5EF4-FFF2-40B4-BE49-F238E27FC236}">
                <a16:creationId xmlns:a16="http://schemas.microsoft.com/office/drawing/2014/main" id="{00000000-0008-0000-0800-000010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65055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1" name="45club">
            <a:extLst>
              <a:ext uri="{FF2B5EF4-FFF2-40B4-BE49-F238E27FC236}">
                <a16:creationId xmlns:a16="http://schemas.microsoft.com/office/drawing/2014/main" id="{00000000-0008-0000-0800-000011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173575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74</xdr:col>
      <xdr:colOff>0</xdr:colOff>
      <xdr:row>41</xdr:row>
      <xdr:rowOff>0</xdr:rowOff>
    </xdr:from>
    <xdr:to>
      <xdr:col>76</xdr:col>
      <xdr:colOff>190500</xdr:colOff>
      <xdr:row>48</xdr:row>
      <xdr:rowOff>47625</xdr:rowOff>
    </xdr:to>
    <xdr:grpSp>
      <xdr:nvGrpSpPr>
        <xdr:cNvPr id="95" name="10 of club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GrpSpPr/>
      </xdr:nvGrpSpPr>
      <xdr:grpSpPr>
        <a:xfrm>
          <a:off x="17926050" y="6543675"/>
          <a:ext cx="590550" cy="1171575"/>
          <a:chOff x="17926050" y="5972175"/>
          <a:chExt cx="590550" cy="981075"/>
        </a:xfrm>
      </xdr:grpSpPr>
      <xdr:pic>
        <xdr:nvPicPr>
          <xdr:cNvPr id="1043" name="46club">
            <a:extLst>
              <a:ext uri="{FF2B5EF4-FFF2-40B4-BE49-F238E27FC236}">
                <a16:creationId xmlns:a16="http://schemas.microsoft.com/office/drawing/2014/main" id="{00000000-0008-0000-0800-000013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4" name="47club">
            <a:extLst>
              <a:ext uri="{FF2B5EF4-FFF2-40B4-BE49-F238E27FC236}">
                <a16:creationId xmlns:a16="http://schemas.microsoft.com/office/drawing/2014/main" id="{00000000-0008-0000-0800-000014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62388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5" name="48club">
            <a:extLst>
              <a:ext uri="{FF2B5EF4-FFF2-40B4-BE49-F238E27FC236}">
                <a16:creationId xmlns:a16="http://schemas.microsoft.com/office/drawing/2014/main" id="{00000000-0008-0000-0800-000015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65055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6" name="49club">
            <a:extLst>
              <a:ext uri="{FF2B5EF4-FFF2-40B4-BE49-F238E27FC236}">
                <a16:creationId xmlns:a16="http://schemas.microsoft.com/office/drawing/2014/main" id="{00000000-0008-0000-0800-000016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2605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7" name="50club">
            <a:extLst>
              <a:ext uri="{FF2B5EF4-FFF2-40B4-BE49-F238E27FC236}">
                <a16:creationId xmlns:a16="http://schemas.microsoft.com/office/drawing/2014/main" id="{00000000-0008-0000-0800-000017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61055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8" name="51club">
            <a:extLst>
              <a:ext uri="{FF2B5EF4-FFF2-40B4-BE49-F238E27FC236}">
                <a16:creationId xmlns:a16="http://schemas.microsoft.com/office/drawing/2014/main" id="{00000000-0008-0000-0800-000018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126075" y="663892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49" name="52club">
            <a:extLst>
              <a:ext uri="{FF2B5EF4-FFF2-40B4-BE49-F238E27FC236}">
                <a16:creationId xmlns:a16="http://schemas.microsoft.com/office/drawing/2014/main" id="{00000000-0008-0000-0800-000019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59721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50" name="53club">
            <a:extLst>
              <a:ext uri="{FF2B5EF4-FFF2-40B4-BE49-F238E27FC236}">
                <a16:creationId xmlns:a16="http://schemas.microsoft.com/office/drawing/2014/main" id="{00000000-0008-0000-0800-00001A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62388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51" name="54club">
            <a:extLst>
              <a:ext uri="{FF2B5EF4-FFF2-40B4-BE49-F238E27FC236}">
                <a16:creationId xmlns:a16="http://schemas.microsoft.com/office/drawing/2014/main" id="{00000000-0008-0000-0800-00001B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65055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52" name="55club">
            <a:extLst>
              <a:ext uri="{FF2B5EF4-FFF2-40B4-BE49-F238E27FC236}">
                <a16:creationId xmlns:a16="http://schemas.microsoft.com/office/drawing/2014/main" id="{00000000-0008-0000-0800-00001C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326100" y="6772275"/>
            <a:ext cx="190500" cy="1809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Relationship Id="rId9" Type="http://schemas.openxmlformats.org/officeDocument/2006/relationships/ctrlProp" Target="../ctrlProps/ctrlProp7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R52"/>
  <sheetViews>
    <sheetView tabSelected="1" zoomScale="101" zoomScaleNormal="101" workbookViewId="0">
      <selection activeCell="J27" sqref="J27"/>
    </sheetView>
  </sheetViews>
  <sheetFormatPr defaultRowHeight="12.75"/>
  <cols>
    <col min="1" max="1" width="0.6640625" customWidth="1"/>
    <col min="2" max="2" width="3" style="3" customWidth="1"/>
    <col min="3" max="3" width="4.1640625" customWidth="1"/>
    <col min="4" max="6" width="3.5" customWidth="1"/>
    <col min="7" max="7" width="4.1640625" customWidth="1"/>
    <col min="8" max="8" width="1.33203125" customWidth="1"/>
    <col min="9" max="9" width="4.1640625" style="3" customWidth="1"/>
    <col min="10" max="12" width="3.5" style="3" customWidth="1"/>
    <col min="13" max="13" width="4.1640625" style="3" customWidth="1"/>
    <col min="14" max="14" width="1.33203125" style="3" customWidth="1"/>
    <col min="15" max="15" width="4.1640625" style="3" customWidth="1"/>
    <col min="16" max="18" width="3.5" style="3" customWidth="1"/>
    <col min="19" max="19" width="4.1640625" style="3" customWidth="1"/>
    <col min="20" max="20" width="1.33203125" style="3" customWidth="1"/>
    <col min="21" max="21" width="4.1640625" style="3" customWidth="1"/>
    <col min="22" max="24" width="3.5" style="3" customWidth="1"/>
    <col min="25" max="25" width="4.1640625" style="3" customWidth="1"/>
    <col min="26" max="26" width="1.33203125" style="3" customWidth="1"/>
    <col min="27" max="27" width="4.1640625" style="3" customWidth="1"/>
    <col min="28" max="30" width="3.5" style="3" customWidth="1"/>
    <col min="31" max="31" width="4.1640625" style="3" customWidth="1"/>
    <col min="32" max="32" width="1.1640625" customWidth="1"/>
    <col min="33" max="33" width="1.5" customWidth="1"/>
    <col min="34" max="34" width="8.83203125" customWidth="1"/>
    <col min="35" max="35" width="3.83203125" customWidth="1"/>
    <col min="36" max="36" width="7.6640625" hidden="1" customWidth="1"/>
    <col min="37" max="37" width="11" style="95" hidden="1" customWidth="1"/>
    <col min="39" max="39" width="17.5" bestFit="1" customWidth="1"/>
  </cols>
  <sheetData>
    <row r="1" spans="1:44" ht="3.75" customHeight="1" thickBot="1">
      <c r="A1" s="8"/>
      <c r="B1" s="46"/>
      <c r="C1" s="27"/>
      <c r="D1" s="27"/>
      <c r="E1" s="27"/>
      <c r="F1" s="27"/>
      <c r="G1" s="27"/>
      <c r="H1" s="27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27"/>
      <c r="AG1" s="27"/>
      <c r="AH1" s="27"/>
      <c r="AI1" s="27"/>
      <c r="AJ1" s="27"/>
      <c r="AK1" s="95">
        <v>7</v>
      </c>
    </row>
    <row r="2" spans="1:44" ht="21" customHeight="1" thickBot="1">
      <c r="A2" s="40"/>
      <c r="B2" s="35"/>
      <c r="C2" s="13"/>
      <c r="D2" s="13"/>
      <c r="E2" s="13"/>
      <c r="F2" s="13"/>
      <c r="G2" s="13"/>
      <c r="H2" s="13"/>
      <c r="I2" s="12"/>
      <c r="J2" s="12"/>
      <c r="K2" s="12"/>
      <c r="L2" s="264" t="s">
        <v>48</v>
      </c>
      <c r="M2" s="93"/>
      <c r="N2" s="211"/>
      <c r="O2" s="212"/>
      <c r="P2" s="212"/>
      <c r="Q2" s="212"/>
      <c r="R2" s="212"/>
      <c r="S2" s="212"/>
      <c r="T2" s="212"/>
      <c r="U2" s="212"/>
      <c r="V2" s="213"/>
      <c r="W2" s="156"/>
      <c r="X2" s="210"/>
      <c r="Y2" s="157"/>
      <c r="Z2" s="157"/>
      <c r="AA2" s="157"/>
      <c r="AB2" s="157"/>
      <c r="AC2" s="157"/>
      <c r="AD2" s="157"/>
      <c r="AE2" s="157"/>
      <c r="AF2" s="13"/>
      <c r="AG2" s="13"/>
      <c r="AH2" s="13"/>
      <c r="AI2" s="20"/>
      <c r="AJ2">
        <v>35</v>
      </c>
      <c r="AK2" s="451">
        <v>4</v>
      </c>
    </row>
    <row r="3" spans="1:44" ht="12" customHeight="1" thickBot="1">
      <c r="A3" s="41"/>
      <c r="B3" s="18"/>
      <c r="C3" s="143" t="s">
        <v>1</v>
      </c>
      <c r="D3" s="143"/>
      <c r="E3" s="143"/>
      <c r="F3" s="147">
        <v>0</v>
      </c>
      <c r="G3" s="143"/>
      <c r="H3" s="16"/>
      <c r="I3" s="14"/>
      <c r="J3" s="14"/>
      <c r="K3" s="14"/>
      <c r="L3" s="91"/>
      <c r="M3" s="91"/>
      <c r="N3" s="138"/>
      <c r="O3" s="90" t="s">
        <v>2</v>
      </c>
      <c r="P3" s="10"/>
      <c r="Q3" s="10"/>
      <c r="R3" s="10"/>
      <c r="S3" s="10"/>
      <c r="T3" s="10"/>
      <c r="U3" s="259" t="s">
        <v>54</v>
      </c>
      <c r="V3" s="260"/>
      <c r="W3" s="153"/>
      <c r="X3" s="115"/>
      <c r="Y3" s="140"/>
      <c r="Z3" s="140"/>
      <c r="AA3" s="269"/>
      <c r="AB3" s="141" t="s">
        <v>4</v>
      </c>
      <c r="AC3" s="142" t="s">
        <v>196</v>
      </c>
      <c r="AD3" s="316" t="s">
        <v>199</v>
      </c>
      <c r="AE3" s="115"/>
      <c r="AF3" s="155"/>
      <c r="AG3" s="155"/>
      <c r="AH3" s="16"/>
      <c r="AI3" s="21"/>
      <c r="AJ3" s="27">
        <v>100</v>
      </c>
      <c r="AK3" s="451">
        <v>9</v>
      </c>
    </row>
    <row r="4" spans="1:44" ht="12" customHeight="1">
      <c r="A4" s="41"/>
      <c r="B4" s="18"/>
      <c r="C4" s="143"/>
      <c r="D4" s="143"/>
      <c r="E4" s="143"/>
      <c r="F4" s="143"/>
      <c r="G4" s="143"/>
      <c r="H4" s="16"/>
      <c r="I4" s="14"/>
      <c r="J4" s="14"/>
      <c r="K4" s="14"/>
      <c r="L4" s="91"/>
      <c r="M4" s="91"/>
      <c r="N4" s="138"/>
      <c r="O4" s="90" t="s">
        <v>5</v>
      </c>
      <c r="P4" s="10"/>
      <c r="Q4" s="10"/>
      <c r="R4" s="10"/>
      <c r="S4" s="10"/>
      <c r="T4" s="10"/>
      <c r="U4" s="122" t="s">
        <v>6</v>
      </c>
      <c r="V4" s="139"/>
      <c r="W4" s="153"/>
      <c r="X4" s="140"/>
      <c r="Y4" s="116"/>
      <c r="Z4" s="116"/>
      <c r="AA4" s="269"/>
      <c r="AB4" s="141" t="s">
        <v>7</v>
      </c>
      <c r="AC4" s="142" t="s">
        <v>195</v>
      </c>
      <c r="AD4" s="268" t="s">
        <v>200</v>
      </c>
      <c r="AE4" s="158"/>
      <c r="AF4" s="155"/>
      <c r="AG4" s="155"/>
      <c r="AH4" s="16"/>
      <c r="AI4" s="21"/>
      <c r="AJ4" s="254" t="s">
        <v>8</v>
      </c>
      <c r="AK4" s="255">
        <v>9</v>
      </c>
    </row>
    <row r="5" spans="1:44" ht="12" customHeight="1">
      <c r="A5" s="42"/>
      <c r="B5" s="19"/>
      <c r="C5" s="143" t="s">
        <v>9</v>
      </c>
      <c r="D5" s="143"/>
      <c r="E5" s="143"/>
      <c r="F5" s="147" t="s">
        <v>197</v>
      </c>
      <c r="G5" s="143"/>
      <c r="H5" s="16"/>
      <c r="I5" s="14"/>
      <c r="J5" s="14"/>
      <c r="K5" s="14"/>
      <c r="L5" s="92"/>
      <c r="M5" s="92"/>
      <c r="N5" s="138"/>
      <c r="O5" s="265" t="s">
        <v>10</v>
      </c>
      <c r="P5" s="10"/>
      <c r="Q5" s="10"/>
      <c r="R5" s="10"/>
      <c r="S5" s="10"/>
      <c r="T5" s="10"/>
      <c r="U5" s="122" t="s">
        <v>56</v>
      </c>
      <c r="V5" s="266"/>
      <c r="W5" s="153"/>
      <c r="X5" s="143"/>
      <c r="Y5" s="116"/>
      <c r="Z5" s="144"/>
      <c r="AA5" s="270"/>
      <c r="AB5" s="145" t="s">
        <v>12</v>
      </c>
      <c r="AC5" s="142" t="s">
        <v>201</v>
      </c>
      <c r="AD5" s="116"/>
      <c r="AE5" s="115"/>
      <c r="AF5" s="155"/>
      <c r="AG5" s="155"/>
      <c r="AH5" s="16"/>
      <c r="AI5" s="21"/>
      <c r="AJ5" s="256"/>
      <c r="AK5" s="449">
        <v>3</v>
      </c>
    </row>
    <row r="6" spans="1:44" ht="12" customHeight="1">
      <c r="A6" s="41"/>
      <c r="B6" s="18"/>
      <c r="C6" s="143"/>
      <c r="D6" s="143"/>
      <c r="E6" s="143"/>
      <c r="F6" s="143"/>
      <c r="G6" s="143"/>
      <c r="H6" s="16"/>
      <c r="I6" s="14"/>
      <c r="J6" s="14"/>
      <c r="K6" s="14"/>
      <c r="L6" s="91"/>
      <c r="M6" s="91"/>
      <c r="N6" s="138"/>
      <c r="O6" s="90" t="s">
        <v>13</v>
      </c>
      <c r="P6" s="10"/>
      <c r="Q6" s="10"/>
      <c r="R6" s="10"/>
      <c r="S6" s="10"/>
      <c r="T6" s="10"/>
      <c r="U6" s="83">
        <v>45</v>
      </c>
      <c r="V6" s="139"/>
      <c r="W6" s="153"/>
      <c r="X6" s="143"/>
      <c r="Y6" s="116"/>
      <c r="Z6" s="116"/>
      <c r="AA6" s="271"/>
      <c r="AB6" s="145" t="s">
        <v>14</v>
      </c>
      <c r="AC6" s="146" t="s">
        <v>193</v>
      </c>
      <c r="AD6" s="116"/>
      <c r="AE6" s="115"/>
      <c r="AF6" s="155"/>
      <c r="AG6" s="155"/>
      <c r="AH6" s="16"/>
      <c r="AI6" s="21"/>
      <c r="AJ6" s="256" t="b">
        <v>0</v>
      </c>
      <c r="AK6" s="449">
        <v>11</v>
      </c>
    </row>
    <row r="7" spans="1:44" ht="12" customHeight="1">
      <c r="A7" s="41"/>
      <c r="B7" s="18"/>
      <c r="C7" s="143" t="s">
        <v>16</v>
      </c>
      <c r="D7" s="143"/>
      <c r="E7" s="143"/>
      <c r="F7" s="147" t="s">
        <v>198</v>
      </c>
      <c r="G7" s="143"/>
      <c r="H7" s="16"/>
      <c r="I7" s="14"/>
      <c r="J7" s="14"/>
      <c r="K7" s="14"/>
      <c r="L7" s="91"/>
      <c r="M7" s="91"/>
      <c r="N7" s="138"/>
      <c r="O7" s="90" t="s">
        <v>17</v>
      </c>
      <c r="P7" s="10"/>
      <c r="Q7" s="10"/>
      <c r="R7" s="10"/>
      <c r="S7" s="10"/>
      <c r="T7" s="10"/>
      <c r="U7" s="83">
        <v>30</v>
      </c>
      <c r="V7" s="139"/>
      <c r="W7" s="154"/>
      <c r="X7" s="116"/>
      <c r="Y7" s="116"/>
      <c r="Z7" s="116"/>
      <c r="AA7" s="116"/>
      <c r="AB7" s="116"/>
      <c r="AC7" s="116"/>
      <c r="AD7" s="116"/>
      <c r="AE7" s="116"/>
      <c r="AF7" s="155"/>
      <c r="AG7" s="155"/>
      <c r="AH7" s="16"/>
      <c r="AI7" s="21"/>
      <c r="AJ7" s="256">
        <v>1</v>
      </c>
      <c r="AK7" s="449">
        <v>5</v>
      </c>
    </row>
    <row r="8" spans="1:44" ht="12" customHeight="1">
      <c r="A8" s="41"/>
      <c r="B8" s="18"/>
      <c r="C8" s="115"/>
      <c r="D8" s="115"/>
      <c r="E8" s="115"/>
      <c r="F8" s="115"/>
      <c r="G8" s="115"/>
      <c r="H8" s="16"/>
      <c r="I8" s="14"/>
      <c r="J8" s="14"/>
      <c r="K8" s="14"/>
      <c r="L8" s="91"/>
      <c r="M8" s="91"/>
      <c r="N8" s="138"/>
      <c r="O8" s="90" t="s">
        <v>19</v>
      </c>
      <c r="P8" s="10"/>
      <c r="Q8" s="10"/>
      <c r="R8" s="10"/>
      <c r="S8" s="10"/>
      <c r="T8" s="10"/>
      <c r="U8" s="83">
        <v>20</v>
      </c>
      <c r="V8" s="139"/>
      <c r="W8" s="26"/>
      <c r="X8" s="116"/>
      <c r="Y8" s="116"/>
      <c r="Z8" s="116"/>
      <c r="AA8" s="116"/>
      <c r="AB8" s="116"/>
      <c r="AC8" s="116"/>
      <c r="AD8" s="116"/>
      <c r="AE8" s="116"/>
      <c r="AF8" s="155"/>
      <c r="AG8" s="155"/>
      <c r="AH8" s="16"/>
      <c r="AI8" s="21"/>
      <c r="AJ8" s="256">
        <v>1</v>
      </c>
      <c r="AK8" s="449" t="s">
        <v>20</v>
      </c>
    </row>
    <row r="9" spans="1:44" ht="12" customHeight="1">
      <c r="A9" s="41"/>
      <c r="B9" s="18"/>
      <c r="C9" s="15"/>
      <c r="D9" s="15"/>
      <c r="E9" s="15"/>
      <c r="F9" s="34"/>
      <c r="G9" s="15"/>
      <c r="H9" s="16"/>
      <c r="I9" s="36"/>
      <c r="J9" s="14"/>
      <c r="K9" s="14"/>
      <c r="L9" s="91"/>
      <c r="M9" s="91"/>
      <c r="N9" s="138"/>
      <c r="O9" s="90" t="s">
        <v>21</v>
      </c>
      <c r="P9" s="10"/>
      <c r="Q9" s="10"/>
      <c r="R9" s="10"/>
      <c r="S9" s="10"/>
      <c r="T9" s="10"/>
      <c r="U9" s="83">
        <v>15</v>
      </c>
      <c r="V9" s="139"/>
      <c r="W9" s="26"/>
      <c r="X9" s="14"/>
      <c r="Y9" s="14"/>
      <c r="Z9" s="14"/>
      <c r="AA9" s="14"/>
      <c r="AB9" s="14"/>
      <c r="AC9" s="14"/>
      <c r="AD9" s="14"/>
      <c r="AE9" s="14"/>
      <c r="AF9" s="16"/>
      <c r="AG9" s="16"/>
      <c r="AH9" s="16"/>
      <c r="AI9" s="21"/>
      <c r="AJ9" s="256">
        <v>1</v>
      </c>
      <c r="AK9" s="449">
        <v>5</v>
      </c>
    </row>
    <row r="10" spans="1:44" ht="12" customHeight="1">
      <c r="A10" s="41"/>
      <c r="B10" s="18"/>
      <c r="C10" s="15"/>
      <c r="D10" s="15"/>
      <c r="E10" s="15"/>
      <c r="F10" s="15"/>
      <c r="G10" s="15"/>
      <c r="H10" s="14"/>
      <c r="I10" s="14"/>
      <c r="J10" s="14"/>
      <c r="K10" s="14"/>
      <c r="L10" s="91"/>
      <c r="M10" s="91"/>
      <c r="N10" s="138"/>
      <c r="O10" s="90" t="s">
        <v>22</v>
      </c>
      <c r="P10" s="10"/>
      <c r="Q10" s="10"/>
      <c r="R10" s="10"/>
      <c r="S10" s="10"/>
      <c r="T10" s="10"/>
      <c r="U10" s="83">
        <v>10</v>
      </c>
      <c r="V10" s="139"/>
      <c r="W10" s="26"/>
      <c r="X10" s="14"/>
      <c r="Y10" s="14"/>
      <c r="Z10" s="14"/>
      <c r="AA10" s="14"/>
      <c r="AB10" s="14"/>
      <c r="AC10" s="14"/>
      <c r="AD10" s="14"/>
      <c r="AE10" s="14"/>
      <c r="AF10" s="16"/>
      <c r="AG10" s="16"/>
      <c r="AH10" s="16"/>
      <c r="AI10" s="21"/>
      <c r="AJ10" s="256" t="b">
        <v>0</v>
      </c>
      <c r="AK10" s="449">
        <v>7</v>
      </c>
    </row>
    <row r="11" spans="1:44" ht="12" customHeight="1" thickBot="1">
      <c r="A11" s="43"/>
      <c r="B11" s="159"/>
      <c r="C11" s="16"/>
      <c r="D11" s="16"/>
      <c r="E11" s="16"/>
      <c r="F11" s="16"/>
      <c r="G11" s="16"/>
      <c r="H11" s="16"/>
      <c r="I11" s="14"/>
      <c r="J11" s="14"/>
      <c r="K11" s="14"/>
      <c r="L11" s="160"/>
      <c r="M11" s="160"/>
      <c r="N11" s="138"/>
      <c r="O11" s="481" t="s">
        <v>24</v>
      </c>
      <c r="P11" s="10"/>
      <c r="Q11" s="10"/>
      <c r="R11" s="10"/>
      <c r="S11" s="10"/>
      <c r="T11" s="10"/>
      <c r="U11" s="83">
        <v>5</v>
      </c>
      <c r="V11" s="139"/>
      <c r="W11" s="26"/>
      <c r="X11" s="14"/>
      <c r="Y11" s="14"/>
      <c r="Z11" s="14"/>
      <c r="AA11" s="14"/>
      <c r="AB11" s="14"/>
      <c r="AC11" s="14"/>
      <c r="AD11" s="14"/>
      <c r="AE11" s="14"/>
      <c r="AF11" s="16"/>
      <c r="AG11" s="16"/>
      <c r="AH11" s="16"/>
      <c r="AI11" s="21"/>
      <c r="AJ11" s="256" t="b">
        <v>1</v>
      </c>
      <c r="AK11" s="449" t="s">
        <v>25</v>
      </c>
    </row>
    <row r="12" spans="1:44" ht="19.5" customHeight="1" thickTop="1">
      <c r="A12" s="180"/>
      <c r="B12" s="313"/>
      <c r="C12" s="180"/>
      <c r="D12" s="161"/>
      <c r="E12" s="161"/>
      <c r="F12" s="161"/>
      <c r="G12" s="161"/>
      <c r="H12" s="161"/>
      <c r="I12" s="161"/>
      <c r="J12" s="161"/>
      <c r="K12" s="161"/>
      <c r="L12" s="161"/>
      <c r="M12" s="162"/>
      <c r="N12" s="163"/>
      <c r="O12" s="163"/>
      <c r="P12" s="163"/>
      <c r="Q12" s="163"/>
      <c r="R12" s="163"/>
      <c r="S12" s="163"/>
      <c r="T12" s="163"/>
      <c r="U12" s="163"/>
      <c r="V12" s="163"/>
      <c r="W12" s="161"/>
      <c r="X12" s="161"/>
      <c r="Y12" s="161"/>
      <c r="Z12" s="161"/>
      <c r="AA12" s="161"/>
      <c r="AB12" s="161"/>
      <c r="AC12" s="161"/>
      <c r="AD12" s="185"/>
      <c r="AE12" s="161"/>
      <c r="AF12" s="252"/>
      <c r="AG12" s="161"/>
      <c r="AH12" s="251"/>
      <c r="AI12" s="253"/>
      <c r="AJ12" s="256" t="b">
        <v>1</v>
      </c>
      <c r="AK12" s="449">
        <v>2</v>
      </c>
    </row>
    <row r="13" spans="1:44" ht="14.25" customHeight="1" thickBot="1">
      <c r="A13" s="44"/>
      <c r="B13" s="267"/>
      <c r="C13" s="182"/>
      <c r="D13" s="182"/>
      <c r="E13" s="181" t="s">
        <v>27</v>
      </c>
      <c r="F13" s="182"/>
      <c r="G13" s="182"/>
      <c r="H13" s="183"/>
      <c r="I13" s="184"/>
      <c r="J13" s="184"/>
      <c r="K13" s="181" t="s">
        <v>27</v>
      </c>
      <c r="L13" s="181"/>
      <c r="M13" s="184"/>
      <c r="N13" s="184"/>
      <c r="O13" s="184"/>
      <c r="P13" s="184"/>
      <c r="Q13" s="445" t="s">
        <v>27</v>
      </c>
      <c r="R13" s="181"/>
      <c r="S13" s="184"/>
      <c r="T13" s="184"/>
      <c r="U13" s="184"/>
      <c r="V13" s="184"/>
      <c r="W13" s="181" t="s">
        <v>27</v>
      </c>
      <c r="X13" s="181"/>
      <c r="Y13" s="184"/>
      <c r="Z13" s="184"/>
      <c r="AA13" s="184"/>
      <c r="AB13" s="184"/>
      <c r="AC13" s="445" t="s">
        <v>27</v>
      </c>
      <c r="AD13" s="181"/>
      <c r="AE13" s="184"/>
      <c r="AF13" s="164"/>
      <c r="AG13" s="164"/>
      <c r="AH13" s="164"/>
      <c r="AI13" s="165"/>
      <c r="AJ13" s="257" t="b">
        <v>0</v>
      </c>
      <c r="AK13" s="450">
        <v>12</v>
      </c>
      <c r="AO13" s="111" t="s">
        <v>194</v>
      </c>
    </row>
    <row r="14" spans="1:44" ht="15" customHeight="1">
      <c r="A14" s="298"/>
      <c r="B14" s="299"/>
      <c r="C14" s="463"/>
      <c r="D14" s="300"/>
      <c r="E14" s="300"/>
      <c r="F14" s="300"/>
      <c r="G14" s="294"/>
      <c r="H14" s="301"/>
      <c r="I14" s="295"/>
      <c r="J14" s="302"/>
      <c r="K14" s="302"/>
      <c r="L14" s="302"/>
      <c r="M14" s="294"/>
      <c r="N14" s="303"/>
      <c r="O14" s="295"/>
      <c r="P14" s="302"/>
      <c r="Q14" s="302"/>
      <c r="R14" s="302"/>
      <c r="S14" s="294"/>
      <c r="T14" s="303"/>
      <c r="U14" s="294"/>
      <c r="V14" s="302"/>
      <c r="W14" s="302"/>
      <c r="X14" s="302"/>
      <c r="Y14" s="295"/>
      <c r="Z14" s="303"/>
      <c r="AA14" s="294"/>
      <c r="AB14" s="302"/>
      <c r="AC14" s="302"/>
      <c r="AD14" s="302"/>
      <c r="AE14" s="295"/>
      <c r="AF14" s="301"/>
      <c r="AG14" s="301"/>
      <c r="AH14" s="304"/>
      <c r="AI14" s="305"/>
      <c r="AJ14" s="300"/>
      <c r="AK14" s="452">
        <v>4</v>
      </c>
      <c r="AL14" s="306"/>
      <c r="AN14" s="111"/>
    </row>
    <row r="15" spans="1:44" ht="10.5" customHeight="1">
      <c r="A15" s="289"/>
      <c r="B15" s="276"/>
      <c r="C15" s="464"/>
      <c r="D15" s="278"/>
      <c r="E15" s="278"/>
      <c r="F15" s="278"/>
      <c r="G15" s="275"/>
      <c r="H15" s="279"/>
      <c r="I15" s="275"/>
      <c r="J15" s="280"/>
      <c r="K15" s="280"/>
      <c r="L15" s="280"/>
      <c r="M15" s="275"/>
      <c r="N15" s="281"/>
      <c r="O15" s="275"/>
      <c r="P15" s="280"/>
      <c r="Q15" s="280"/>
      <c r="R15" s="280"/>
      <c r="S15" s="261"/>
      <c r="T15" s="281"/>
      <c r="U15" s="261"/>
      <c r="V15" s="280"/>
      <c r="W15" s="280"/>
      <c r="X15" s="280"/>
      <c r="Y15" s="261"/>
      <c r="Z15" s="281"/>
      <c r="AA15" s="261"/>
      <c r="AB15" s="280"/>
      <c r="AC15" s="280"/>
      <c r="AD15" s="280"/>
      <c r="AE15" s="261"/>
      <c r="AF15" s="282"/>
      <c r="AG15" s="279"/>
      <c r="AH15" s="314"/>
      <c r="AI15" s="283"/>
      <c r="AJ15" s="278"/>
      <c r="AK15" s="453">
        <v>5</v>
      </c>
      <c r="AL15" s="284"/>
      <c r="AR15" s="111" t="s">
        <v>187</v>
      </c>
    </row>
    <row r="16" spans="1:44" ht="18" customHeight="1">
      <c r="A16" s="8"/>
      <c r="B16" s="171"/>
      <c r="C16" s="27"/>
      <c r="D16" s="27"/>
      <c r="E16" s="27"/>
      <c r="F16" s="27"/>
      <c r="G16" s="27"/>
      <c r="H16" s="166"/>
      <c r="I16" s="9"/>
      <c r="J16" s="9"/>
      <c r="K16" s="9"/>
      <c r="L16" s="9"/>
      <c r="M16" s="28"/>
      <c r="N16" s="172"/>
      <c r="O16" s="9"/>
      <c r="P16" s="9"/>
      <c r="Q16" s="9"/>
      <c r="R16" s="9"/>
      <c r="S16" s="31"/>
      <c r="T16" s="172"/>
      <c r="U16" s="9"/>
      <c r="V16" s="9"/>
      <c r="W16" s="9"/>
      <c r="X16" s="9"/>
      <c r="Y16" s="31"/>
      <c r="Z16" s="172"/>
      <c r="AA16" s="9"/>
      <c r="AB16" s="9"/>
      <c r="AC16" s="9"/>
      <c r="AD16" s="9"/>
      <c r="AE16" s="31"/>
      <c r="AF16" s="214"/>
      <c r="AG16" s="166"/>
      <c r="AH16" s="315"/>
      <c r="AI16" s="165"/>
      <c r="AJ16" s="27"/>
      <c r="AK16" s="451">
        <v>1</v>
      </c>
    </row>
    <row r="17" spans="1:44" ht="10.5" customHeight="1">
      <c r="A17" s="8"/>
      <c r="B17" s="171"/>
      <c r="C17" s="27"/>
      <c r="D17" s="27"/>
      <c r="E17" s="27"/>
      <c r="F17" s="27"/>
      <c r="G17" s="27"/>
      <c r="H17" s="166"/>
      <c r="I17" s="9"/>
      <c r="J17" s="9"/>
      <c r="K17" s="9"/>
      <c r="L17" s="9"/>
      <c r="M17" s="28"/>
      <c r="N17" s="172"/>
      <c r="O17" s="9"/>
      <c r="P17" s="9"/>
      <c r="Q17" s="9"/>
      <c r="R17" s="9"/>
      <c r="S17" s="31"/>
      <c r="T17" s="172"/>
      <c r="U17" s="9"/>
      <c r="V17" s="9"/>
      <c r="W17" s="9"/>
      <c r="X17" s="9"/>
      <c r="Y17" s="31"/>
      <c r="Z17" s="262"/>
      <c r="AA17" s="9"/>
      <c r="AB17" s="9"/>
      <c r="AC17" s="9"/>
      <c r="AD17" s="9"/>
      <c r="AE17" s="31"/>
      <c r="AF17" s="215"/>
      <c r="AG17" s="166"/>
      <c r="AH17" s="315"/>
      <c r="AI17" s="165"/>
      <c r="AJ17" s="27"/>
      <c r="AK17" s="451">
        <v>5</v>
      </c>
    </row>
    <row r="18" spans="1:44" ht="10.5" customHeight="1">
      <c r="A18" s="8"/>
      <c r="B18" s="171"/>
      <c r="C18" s="27"/>
      <c r="D18" s="27"/>
      <c r="E18" s="27"/>
      <c r="F18" s="27"/>
      <c r="G18" s="27"/>
      <c r="H18" s="166"/>
      <c r="I18" s="9"/>
      <c r="J18" s="9"/>
      <c r="K18" s="9"/>
      <c r="L18" s="9"/>
      <c r="M18" s="28"/>
      <c r="N18" s="172"/>
      <c r="O18" s="9"/>
      <c r="P18" s="9"/>
      <c r="Q18" s="9"/>
      <c r="R18" s="9"/>
      <c r="S18" s="31"/>
      <c r="T18" s="172"/>
      <c r="U18" s="9"/>
      <c r="V18" s="9"/>
      <c r="W18" s="9"/>
      <c r="X18" s="9"/>
      <c r="Y18" s="31"/>
      <c r="Z18" s="172"/>
      <c r="AA18" s="9"/>
      <c r="AB18" s="9"/>
      <c r="AC18" s="444"/>
      <c r="AD18" s="9"/>
      <c r="AE18" s="31"/>
      <c r="AF18" s="216"/>
      <c r="AG18" s="166"/>
      <c r="AH18" s="315"/>
      <c r="AI18" s="165"/>
      <c r="AJ18" s="27"/>
      <c r="AK18" s="451">
        <v>10</v>
      </c>
    </row>
    <row r="19" spans="1:44" ht="18" customHeight="1">
      <c r="A19" s="8"/>
      <c r="B19" s="171"/>
      <c r="C19" s="27"/>
      <c r="D19" s="27"/>
      <c r="E19" s="27"/>
      <c r="F19" s="27"/>
      <c r="G19" s="27"/>
      <c r="H19" s="166"/>
      <c r="I19" s="9"/>
      <c r="J19" s="9"/>
      <c r="K19" s="9"/>
      <c r="L19" s="9"/>
      <c r="M19" s="28"/>
      <c r="N19" s="172"/>
      <c r="O19" s="9"/>
      <c r="P19" s="9"/>
      <c r="Q19" s="9"/>
      <c r="R19" s="9"/>
      <c r="S19" s="31"/>
      <c r="T19" s="172"/>
      <c r="U19" s="9"/>
      <c r="V19" s="9"/>
      <c r="W19" s="9"/>
      <c r="X19" s="9"/>
      <c r="Y19" s="31"/>
      <c r="Z19" s="172"/>
      <c r="AA19" s="9"/>
      <c r="AB19" s="9"/>
      <c r="AC19" s="9"/>
      <c r="AD19" s="9"/>
      <c r="AE19" s="31"/>
      <c r="AF19" s="166"/>
      <c r="AG19" s="166"/>
      <c r="AH19" s="164"/>
      <c r="AI19" s="165"/>
      <c r="AJ19" s="27"/>
      <c r="AK19" s="451"/>
    </row>
    <row r="20" spans="1:44" s="4" customFormat="1" ht="10.5" customHeight="1">
      <c r="A20" s="27"/>
      <c r="B20" s="171"/>
      <c r="C20" s="27"/>
      <c r="D20" s="27"/>
      <c r="E20" s="27"/>
      <c r="F20" s="27"/>
      <c r="G20" s="27"/>
      <c r="H20" s="178"/>
      <c r="I20" s="29"/>
      <c r="J20" s="29"/>
      <c r="K20" s="29"/>
      <c r="L20" s="30"/>
      <c r="M20" s="29"/>
      <c r="N20" s="179"/>
      <c r="O20" s="29"/>
      <c r="P20" s="29"/>
      <c r="Q20" s="29"/>
      <c r="R20" s="32"/>
      <c r="S20" s="29"/>
      <c r="T20" s="179"/>
      <c r="U20" s="29"/>
      <c r="V20" s="29"/>
      <c r="W20" s="29"/>
      <c r="X20" s="30"/>
      <c r="Y20" s="29"/>
      <c r="Z20" s="179"/>
      <c r="AA20" s="29"/>
      <c r="AB20" s="29"/>
      <c r="AC20" s="29"/>
      <c r="AD20" s="30"/>
      <c r="AE20" s="33"/>
      <c r="AF20" s="166"/>
      <c r="AG20" s="167"/>
      <c r="AH20" s="164"/>
      <c r="AI20" s="168"/>
      <c r="AJ20" s="45"/>
      <c r="AK20" s="454">
        <v>1</v>
      </c>
      <c r="AM20"/>
      <c r="AN20"/>
      <c r="AO20"/>
      <c r="AP20"/>
      <c r="AQ20"/>
      <c r="AR20"/>
    </row>
    <row r="21" spans="1:44" ht="10.5" customHeight="1">
      <c r="A21" s="277"/>
      <c r="B21" s="285"/>
      <c r="C21" s="275"/>
      <c r="D21" s="280"/>
      <c r="E21" s="280"/>
      <c r="F21" s="280"/>
      <c r="G21" s="261"/>
      <c r="H21" s="281"/>
      <c r="I21" s="275"/>
      <c r="J21" s="288"/>
      <c r="K21" s="288"/>
      <c r="L21" s="280"/>
      <c r="M21" s="275"/>
      <c r="N21" s="281"/>
      <c r="O21" s="261"/>
      <c r="P21" s="288"/>
      <c r="Q21" s="288"/>
      <c r="R21" s="280"/>
      <c r="S21" s="275"/>
      <c r="T21" s="281"/>
      <c r="U21" s="261"/>
      <c r="V21" s="288"/>
      <c r="W21" s="288"/>
      <c r="X21" s="280"/>
      <c r="Y21" s="261"/>
      <c r="Z21" s="281"/>
      <c r="AA21" s="261"/>
      <c r="AB21" s="288"/>
      <c r="AC21" s="288"/>
      <c r="AD21" s="280"/>
      <c r="AE21" s="261"/>
      <c r="AF21" s="281"/>
      <c r="AG21" s="281"/>
      <c r="AH21" s="281"/>
      <c r="AI21" s="286"/>
      <c r="AJ21" s="277"/>
      <c r="AK21" s="453"/>
      <c r="AL21" s="287"/>
    </row>
    <row r="22" spans="1:44" ht="15" customHeight="1">
      <c r="A22" s="307"/>
      <c r="B22" s="308"/>
      <c r="C22" s="293"/>
      <c r="D22" s="309"/>
      <c r="E22" s="309"/>
      <c r="F22" s="309"/>
      <c r="G22" s="290"/>
      <c r="H22" s="310"/>
      <c r="I22" s="293"/>
      <c r="J22" s="291"/>
      <c r="K22" s="291"/>
      <c r="L22" s="291"/>
      <c r="M22" s="293"/>
      <c r="N22" s="292"/>
      <c r="O22" s="290"/>
      <c r="P22" s="291"/>
      <c r="Q22" s="291"/>
      <c r="R22" s="291"/>
      <c r="S22" s="293"/>
      <c r="T22" s="292"/>
      <c r="U22" s="290"/>
      <c r="V22" s="291"/>
      <c r="W22" s="291"/>
      <c r="X22" s="291"/>
      <c r="Y22" s="290"/>
      <c r="Z22" s="292"/>
      <c r="AA22" s="290"/>
      <c r="AB22" s="291"/>
      <c r="AC22" s="291"/>
      <c r="AD22" s="291"/>
      <c r="AE22" s="290"/>
      <c r="AF22" s="310"/>
      <c r="AG22" s="310"/>
      <c r="AH22" s="310"/>
      <c r="AI22" s="311"/>
      <c r="AJ22" s="307"/>
      <c r="AK22" s="455">
        <v>13</v>
      </c>
      <c r="AL22" s="312"/>
    </row>
    <row r="23" spans="1:44" ht="6" customHeight="1">
      <c r="A23" s="27"/>
      <c r="B23" s="171"/>
      <c r="C23" s="166"/>
      <c r="D23" s="166"/>
      <c r="E23" s="166"/>
      <c r="F23" s="166"/>
      <c r="G23" s="166"/>
      <c r="H23" s="166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66"/>
      <c r="AG23" s="166"/>
      <c r="AH23" s="166"/>
      <c r="AI23" s="165"/>
      <c r="AJ23" s="27"/>
      <c r="AK23" s="451"/>
    </row>
    <row r="24" spans="1:44" ht="21.75" customHeight="1" thickBot="1">
      <c r="A24" s="27"/>
      <c r="B24" s="173"/>
      <c r="C24" s="169"/>
      <c r="D24" s="169"/>
      <c r="E24" s="169"/>
      <c r="F24" s="169"/>
      <c r="G24" s="169"/>
      <c r="H24" s="169"/>
      <c r="I24" s="174"/>
      <c r="J24" s="174"/>
      <c r="K24" s="174"/>
      <c r="L24" s="174"/>
      <c r="M24" s="175"/>
      <c r="N24" s="176"/>
      <c r="O24" s="174"/>
      <c r="P24" s="174"/>
      <c r="Q24" s="174"/>
      <c r="R24" s="176"/>
      <c r="S24" s="174"/>
      <c r="T24" s="174"/>
      <c r="U24" s="177"/>
      <c r="V24" s="177"/>
      <c r="W24" s="177"/>
      <c r="X24" s="174"/>
      <c r="Y24" s="174"/>
      <c r="Z24" s="174"/>
      <c r="AA24" s="177"/>
      <c r="AB24" s="177"/>
      <c r="AC24" s="177"/>
      <c r="AD24" s="174"/>
      <c r="AE24" s="174"/>
      <c r="AF24" s="169"/>
      <c r="AG24" s="169"/>
      <c r="AH24" s="169"/>
      <c r="AI24" s="170"/>
      <c r="AJ24" s="27"/>
      <c r="AK24" s="451">
        <v>3</v>
      </c>
    </row>
    <row r="25" spans="1:44" ht="12" customHeight="1" thickTop="1">
      <c r="B25"/>
      <c r="C25" s="8"/>
      <c r="D25" s="8"/>
      <c r="E25" s="8"/>
      <c r="F25" s="8"/>
      <c r="G25" s="8"/>
      <c r="H25" s="8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G25" s="8"/>
      <c r="AH25" s="8"/>
      <c r="AJ25" s="5"/>
      <c r="AK25" s="95">
        <v>11</v>
      </c>
    </row>
    <row r="26" spans="1:44">
      <c r="B26"/>
      <c r="C26" s="8"/>
      <c r="D26" s="8"/>
      <c r="E26" s="8"/>
      <c r="F26" s="8"/>
      <c r="G26" s="8"/>
      <c r="H26" s="8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1"/>
      <c r="AB26" s="11"/>
      <c r="AC26" s="11"/>
      <c r="AD26" s="9"/>
      <c r="AE26" s="9"/>
      <c r="AG26" s="8"/>
      <c r="AH26" s="8"/>
    </row>
    <row r="28" spans="1:44">
      <c r="AK28" s="95">
        <v>10</v>
      </c>
    </row>
    <row r="29" spans="1:44">
      <c r="AK29" s="95">
        <v>2</v>
      </c>
    </row>
    <row r="30" spans="1:44">
      <c r="AK30" s="95">
        <v>10</v>
      </c>
    </row>
    <row r="31" spans="1:44">
      <c r="AK31" s="95">
        <v>12</v>
      </c>
    </row>
    <row r="32" spans="1:44">
      <c r="Z32" s="95" t="s">
        <v>187</v>
      </c>
      <c r="AK32" s="95">
        <v>13</v>
      </c>
    </row>
    <row r="33" spans="37:37">
      <c r="AK33" s="95">
        <v>12</v>
      </c>
    </row>
    <row r="35" spans="37:37">
      <c r="AK35" s="95">
        <v>8</v>
      </c>
    </row>
    <row r="36" spans="37:37">
      <c r="AK36" s="95">
        <v>11</v>
      </c>
    </row>
    <row r="37" spans="37:37">
      <c r="AK37" s="95">
        <v>9</v>
      </c>
    </row>
    <row r="39" spans="37:37">
      <c r="AK39" s="95">
        <v>12</v>
      </c>
    </row>
    <row r="40" spans="37:37">
      <c r="AK40" s="95">
        <v>8</v>
      </c>
    </row>
    <row r="42" spans="37:37">
      <c r="AK42" s="95">
        <v>5</v>
      </c>
    </row>
    <row r="43" spans="37:37">
      <c r="AK43" s="95">
        <v>13</v>
      </c>
    </row>
    <row r="44" spans="37:37">
      <c r="AK44" s="95">
        <v>12</v>
      </c>
    </row>
    <row r="45" spans="37:37">
      <c r="AK45" s="95">
        <v>8</v>
      </c>
    </row>
    <row r="46" spans="37:37">
      <c r="AK46" s="95">
        <v>13</v>
      </c>
    </row>
    <row r="47" spans="37:37">
      <c r="AK47" s="95">
        <v>6</v>
      </c>
    </row>
    <row r="48" spans="37:37">
      <c r="AK48" s="95">
        <v>6</v>
      </c>
    </row>
    <row r="49" spans="37:37">
      <c r="AK49" s="95">
        <v>8</v>
      </c>
    </row>
    <row r="50" spans="37:37">
      <c r="AK50" s="95">
        <v>3</v>
      </c>
    </row>
    <row r="51" spans="37:37">
      <c r="AK51" s="95">
        <v>7</v>
      </c>
    </row>
    <row r="52" spans="37:37">
      <c r="AK52" s="95">
        <v>12</v>
      </c>
    </row>
  </sheetData>
  <sheetProtection selectLockedCells="1" selectUnlockedCells="1"/>
  <phoneticPr fontId="2" type="noConversion"/>
  <pageMargins left="0.25" right="0.25" top="0.75" bottom="0.75" header="0.3" footer="0.3"/>
  <pageSetup paperSize="9" scale="80" orientation="portrait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738" r:id="rId4" name="Button 64714">
              <controlPr defaultSize="0" print="0" autoFill="0" autoLine="0" autoPict="0" macro="[0]!reset">
                <anchor moveWithCells="1" sizeWithCells="1">
                  <from>
                    <xdr:col>25</xdr:col>
                    <xdr:colOff>28575</xdr:colOff>
                    <xdr:row>6</xdr:row>
                    <xdr:rowOff>38100</xdr:rowOff>
                  </from>
                  <to>
                    <xdr:col>29</xdr:col>
                    <xdr:colOff>28575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9" r:id="rId5" name="window">
              <controlPr defaultSize="0" print="0" autoFill="0" autoLine="0" autoPict="0" macro="[0]!screenset">
                <anchor moveWithCells="1" sizeWithCells="1">
                  <from>
                    <xdr:col>23</xdr:col>
                    <xdr:colOff>28575</xdr:colOff>
                    <xdr:row>1</xdr:row>
                    <xdr:rowOff>38100</xdr:rowOff>
                  </from>
                  <to>
                    <xdr:col>27</xdr:col>
                    <xdr:colOff>57150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0" r:id="rId6" name="menu">
              <controlPr defaultSize="0" print="0" autoFill="0" autoLine="0" autoPict="0" macro="[0]!menureset">
                <anchor moveWithCells="1" sizeWithCells="1">
                  <from>
                    <xdr:col>27</xdr:col>
                    <xdr:colOff>114300</xdr:colOff>
                    <xdr:row>1</xdr:row>
                    <xdr:rowOff>38100</xdr:rowOff>
                  </from>
                  <to>
                    <xdr:col>30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" r:id="rId7" name="Hold 1">
              <controlPr defaultSize="0" print="0" autoFill="0" autoLine="0" autoPict="0" macro="[0]!bbut1">
                <anchor moveWithCells="1" sizeWithCells="1">
                  <from>
                    <xdr:col>3</xdr:col>
                    <xdr:colOff>9525</xdr:colOff>
                    <xdr:row>22</xdr:row>
                    <xdr:rowOff>66675</xdr:rowOff>
                  </from>
                  <to>
                    <xdr:col>5</xdr:col>
                    <xdr:colOff>85725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2" r:id="rId8" name="Hold 2">
              <controlPr defaultSize="0" print="0" autoFill="0" autoLine="0" autoPict="0" macro="[0]!bbut2">
                <anchor moveWithCells="1" sizeWithCells="1">
                  <from>
                    <xdr:col>9</xdr:col>
                    <xdr:colOff>9525</xdr:colOff>
                    <xdr:row>22</xdr:row>
                    <xdr:rowOff>66675</xdr:rowOff>
                  </from>
                  <to>
                    <xdr:col>11</xdr:col>
                    <xdr:colOff>95250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3" r:id="rId9" name="Hold 3">
              <controlPr defaultSize="0" print="0" autoFill="0" autoLine="0" autoPict="0" macro="[0]!bbut3">
                <anchor moveWithCells="1" sizeWithCells="1">
                  <from>
                    <xdr:col>15</xdr:col>
                    <xdr:colOff>47625</xdr:colOff>
                    <xdr:row>22</xdr:row>
                    <xdr:rowOff>66675</xdr:rowOff>
                  </from>
                  <to>
                    <xdr:col>17</xdr:col>
                    <xdr:colOff>133350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4" r:id="rId10" name="Hold 4">
              <controlPr defaultSize="0" print="0" autoFill="0" autoLine="0" autoPict="0" macro="[0]!bbut4">
                <anchor moveWithCells="1" sizeWithCells="1">
                  <from>
                    <xdr:col>21</xdr:col>
                    <xdr:colOff>66675</xdr:colOff>
                    <xdr:row>22</xdr:row>
                    <xdr:rowOff>66675</xdr:rowOff>
                  </from>
                  <to>
                    <xdr:col>23</xdr:col>
                    <xdr:colOff>152400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5" r:id="rId11" name="Hold 5">
              <controlPr defaultSize="0" print="0" autoFill="0" autoLine="0" autoPict="0" macro="[0]!bbut5">
                <anchor moveWithCells="1" sizeWithCells="1">
                  <from>
                    <xdr:col>27</xdr:col>
                    <xdr:colOff>66675</xdr:colOff>
                    <xdr:row>23</xdr:row>
                    <xdr:rowOff>0</xdr:rowOff>
                  </from>
                  <to>
                    <xdr:col>29</xdr:col>
                    <xdr:colOff>152400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6" r:id="rId12" name="optNweDesck">
              <controlPr defaultSize="0" autoFill="0" autoLine="0" autoPict="0">
                <anchor moveWithCells="1">
                  <from>
                    <xdr:col>23</xdr:col>
                    <xdr:colOff>9525</xdr:colOff>
                    <xdr:row>7</xdr:row>
                    <xdr:rowOff>133350</xdr:rowOff>
                  </from>
                  <to>
                    <xdr:col>27</xdr:col>
                    <xdr:colOff>66675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7" r:id="rId13" name="optShuffled">
              <controlPr defaultSize="0" autoFill="0" autoLine="0" autoPict="0">
                <anchor moveWithCells="1">
                  <from>
                    <xdr:col>23</xdr:col>
                    <xdr:colOff>9525</xdr:colOff>
                    <xdr:row>9</xdr:row>
                    <xdr:rowOff>0</xdr:rowOff>
                  </from>
                  <to>
                    <xdr:col>27</xdr:col>
                    <xdr:colOff>171450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8" r:id="rId14" name="Button 64724">
              <controlPr defaultSize="0" print="0" autoFill="0" autoLine="0" autoPict="0" macro="[0]!nextfivecards">
                <anchor moveWithCells="1" sizeWithCells="1">
                  <from>
                    <xdr:col>27</xdr:col>
                    <xdr:colOff>133350</xdr:colOff>
                    <xdr:row>9</xdr:row>
                    <xdr:rowOff>19050</xdr:rowOff>
                  </from>
                  <to>
                    <xdr:col>30</xdr:col>
                    <xdr:colOff>171450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9" r:id="rId15" name="Button 64725">
              <controlPr defaultSize="0" print="0" autoFill="0" autoLine="0" autoPict="0" macro="[0]!GotoChart">
                <anchor moveWithCells="1" sizeWithCells="1">
                  <from>
                    <xdr:col>8</xdr:col>
                    <xdr:colOff>209550</xdr:colOff>
                    <xdr:row>1</xdr:row>
                    <xdr:rowOff>133350</xdr:rowOff>
                  </from>
                  <to>
                    <xdr:col>12</xdr:col>
                    <xdr:colOff>57150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0" r:id="rId16" name="Button 64726">
              <controlPr defaultSize="0" print="0" autoFill="0" autoLine="0" autoPict="0" macro="[0]!HandsChart">
                <anchor moveWithCells="1" sizeWithCells="1">
                  <from>
                    <xdr:col>8</xdr:col>
                    <xdr:colOff>209550</xdr:colOff>
                    <xdr:row>2</xdr:row>
                    <xdr:rowOff>133350</xdr:rowOff>
                  </from>
                  <to>
                    <xdr:col>12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1" r:id="rId17" name="Button 64727">
              <controlPr defaultSize="0" print="0" autoFill="0" autoLine="0" autoPict="0" macro="[0]!gotoshed">
                <anchor moveWithCells="1" sizeWithCells="1">
                  <from>
                    <xdr:col>8</xdr:col>
                    <xdr:colOff>209550</xdr:colOff>
                    <xdr:row>4</xdr:row>
                    <xdr:rowOff>104775</xdr:rowOff>
                  </from>
                  <to>
                    <xdr:col>12</xdr:col>
                    <xdr:colOff>57150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2" r:id="rId18" name="Button 64728">
              <controlPr defaultSize="0" print="0" autoFill="0" autoLine="0" autoPict="0" macro="[0]!gotoprob">
                <anchor moveWithCells="1" sizeWithCells="1">
                  <from>
                    <xdr:col>8</xdr:col>
                    <xdr:colOff>209550</xdr:colOff>
                    <xdr:row>6</xdr:row>
                    <xdr:rowOff>66675</xdr:rowOff>
                  </from>
                  <to>
                    <xdr:col>12</xdr:col>
                    <xdr:colOff>57150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3" r:id="rId19" name="Game Type">
              <controlPr defaultSize="0" autoFill="0" autoLine="0" autoPict="0" macro="[0]!Code.gametype">
                <anchor moveWithCells="1">
                  <from>
                    <xdr:col>5</xdr:col>
                    <xdr:colOff>66675</xdr:colOff>
                    <xdr:row>8</xdr:row>
                    <xdr:rowOff>142875</xdr:rowOff>
                  </from>
                  <to>
                    <xdr:col>12</xdr:col>
                    <xdr:colOff>57150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5" r:id="rId20" name="Button 64731">
              <controlPr defaultSize="0" print="0" autoFill="0" autoLine="0" autoPict="0" macro="[0]!displaydeck">
                <anchor moveWithCells="1" sizeWithCells="1">
                  <from>
                    <xdr:col>27</xdr:col>
                    <xdr:colOff>123825</xdr:colOff>
                    <xdr:row>7</xdr:row>
                    <xdr:rowOff>123825</xdr:rowOff>
                  </from>
                  <to>
                    <xdr:col>30</xdr:col>
                    <xdr:colOff>171450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6" r:id="rId21" name="ddAutoPlays">
              <controlPr defaultSize="0" autoFill="0" autoLine="0" autoPict="0">
                <anchor moveWithCells="1">
                  <from>
                    <xdr:col>32</xdr:col>
                    <xdr:colOff>28575</xdr:colOff>
                    <xdr:row>1</xdr:row>
                    <xdr:rowOff>209550</xdr:rowOff>
                  </from>
                  <to>
                    <xdr:col>34</xdr:col>
                    <xdr:colOff>38100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8" r:id="rId22" name="cbAutoPlay">
              <controlPr defaultSize="0" autoFill="0" autoLine="0" autoPict="0">
                <anchor moveWithCells="1">
                  <from>
                    <xdr:col>31</xdr:col>
                    <xdr:colOff>47625</xdr:colOff>
                    <xdr:row>1</xdr:row>
                    <xdr:rowOff>28575</xdr:rowOff>
                  </from>
                  <to>
                    <xdr:col>34</xdr:col>
                    <xdr:colOff>85725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9" r:id="rId23" name="cbHandDetails">
              <controlPr defaultSize="0" autoFill="0" autoLine="0" autoPict="0">
                <anchor moveWithCells="1">
                  <from>
                    <xdr:col>31</xdr:col>
                    <xdr:colOff>38100</xdr:colOff>
                    <xdr:row>4</xdr:row>
                    <xdr:rowOff>95250</xdr:rowOff>
                  </from>
                  <to>
                    <xdr:col>34</xdr:col>
                    <xdr:colOff>200025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60" r:id="rId24" name="cbAutoHold">
              <controlPr defaultSize="0" autoFill="0" autoLine="0" autoPict="0">
                <anchor moveWithCells="1">
                  <from>
                    <xdr:col>31</xdr:col>
                    <xdr:colOff>38100</xdr:colOff>
                    <xdr:row>5</xdr:row>
                    <xdr:rowOff>104775</xdr:rowOff>
                  </from>
                  <to>
                    <xdr:col>34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61" r:id="rId25" name="Button 64737">
              <controlPr defaultSize="0" print="0" autoFill="0" autoLine="0" autoPict="0" macro="[0]!gotohandedit">
                <anchor moveWithCells="1" sizeWithCells="1">
                  <from>
                    <xdr:col>32</xdr:col>
                    <xdr:colOff>19050</xdr:colOff>
                    <xdr:row>7</xdr:row>
                    <xdr:rowOff>19050</xdr:rowOff>
                  </from>
                  <to>
                    <xdr:col>34</xdr:col>
                    <xdr:colOff>104775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64" r:id="rId26" name="cbDouble">
              <controlPr defaultSize="0" autoFill="0" autoLine="0" autoPict="0">
                <anchor moveWithCells="1">
                  <from>
                    <xdr:col>31</xdr:col>
                    <xdr:colOff>19050</xdr:colOff>
                    <xdr:row>9</xdr:row>
                    <xdr:rowOff>9525</xdr:rowOff>
                  </from>
                  <to>
                    <xdr:col>34</xdr:col>
                    <xdr:colOff>142875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2" r:id="rId27" name="Deal Draw">
              <controlPr defaultSize="0" print="0" autoFill="0" autoLine="0" autoPict="0" macro="[0]!startgame">
                <anchor moveWithCells="1" sizeWithCells="1">
                  <from>
                    <xdr:col>33</xdr:col>
                    <xdr:colOff>19050</xdr:colOff>
                    <xdr:row>14</xdr:row>
                    <xdr:rowOff>19050</xdr:rowOff>
                  </from>
                  <to>
                    <xdr:col>34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3" r:id="rId28" name="No Button">
              <controlPr defaultSize="0" print="0" autoFill="0" autoLine="0" autoPict="0" macro="[0]!nodouble">
                <anchor moveWithCells="1" sizeWithCells="1">
                  <from>
                    <xdr:col>32</xdr:col>
                    <xdr:colOff>19050</xdr:colOff>
                    <xdr:row>14</xdr:row>
                    <xdr:rowOff>104775</xdr:rowOff>
                  </from>
                  <to>
                    <xdr:col>33</xdr:col>
                    <xdr:colOff>228600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4" r:id="rId29" name="Yes Button">
              <controlPr defaultSize="0" print="0" autoFill="0" autoLine="0" autoPict="0" macro="[0]!yesdouble">
                <anchor moveWithCells="1" sizeWithCells="1">
                  <from>
                    <xdr:col>33</xdr:col>
                    <xdr:colOff>342900</xdr:colOff>
                    <xdr:row>14</xdr:row>
                    <xdr:rowOff>104775</xdr:rowOff>
                  </from>
                  <to>
                    <xdr:col>34</xdr:col>
                    <xdr:colOff>142875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5" r:id="rId30" name="10">
              <controlPr defaultSize="0" print="0" autoFill="0" autoPict="0" macro="[0]!UnProtect">
                <anchor moveWithCells="1">
                  <from>
                    <xdr:col>38</xdr:col>
                    <xdr:colOff>295275</xdr:colOff>
                    <xdr:row>0</xdr:row>
                    <xdr:rowOff>28575</xdr:rowOff>
                  </from>
                  <to>
                    <xdr:col>39</xdr:col>
                    <xdr:colOff>66675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9" r:id="rId31" name="Button 350491">
              <controlPr defaultSize="0" print="0" autoFill="0" autoLine="0" autoPict="0" macro="[0]!savegame">
                <anchor moveWithCells="1" sizeWithCells="1">
                  <from>
                    <xdr:col>1</xdr:col>
                    <xdr:colOff>47625</xdr:colOff>
                    <xdr:row>1</xdr:row>
                    <xdr:rowOff>38100</xdr:rowOff>
                  </from>
                  <to>
                    <xdr:col>3</xdr:col>
                    <xdr:colOff>38100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1" r:id="rId32" name="Button 350493">
              <controlPr defaultSize="0" print="0" autoFill="0" autoLine="0" autoPict="0" macro="[0]!contents">
                <anchor moveWithCells="1" sizeWithCells="1">
                  <from>
                    <xdr:col>5</xdr:col>
                    <xdr:colOff>104775</xdr:colOff>
                    <xdr:row>1</xdr:row>
                    <xdr:rowOff>38100</xdr:rowOff>
                  </from>
                  <to>
                    <xdr:col>7</xdr:col>
                    <xdr:colOff>66675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2" r:id="rId33" name="Button 350494">
              <controlPr defaultSize="0" print="0" autoFill="0" autoLine="0" autoPict="0" macro="[0]!about">
                <anchor moveWithCells="1" sizeWithCells="1">
                  <from>
                    <xdr:col>3</xdr:col>
                    <xdr:colOff>76200</xdr:colOff>
                    <xdr:row>1</xdr:row>
                    <xdr:rowOff>38100</xdr:rowOff>
                  </from>
                  <to>
                    <xdr:col>5</xdr:col>
                    <xdr:colOff>66675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3" r:id="rId34" name="Check Box 350495">
              <controlPr defaultSize="0" autoFill="0" autoLine="0" autoPict="0">
                <anchor moveWithCells="1">
                  <from>
                    <xdr:col>31</xdr:col>
                    <xdr:colOff>47625</xdr:colOff>
                    <xdr:row>2</xdr:row>
                    <xdr:rowOff>123825</xdr:rowOff>
                  </from>
                  <to>
                    <xdr:col>34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Y73"/>
  <sheetViews>
    <sheetView showGridLines="0" showOutlineSymbols="0" workbookViewId="0">
      <selection activeCell="E11" sqref="E11"/>
    </sheetView>
  </sheetViews>
  <sheetFormatPr defaultRowHeight="12.75"/>
  <cols>
    <col min="1" max="1" width="2.83203125" customWidth="1"/>
    <col min="2" max="2" width="5.5" customWidth="1"/>
    <col min="3" max="3" width="4.1640625" customWidth="1"/>
    <col min="4" max="4" width="11.83203125" customWidth="1"/>
    <col min="5" max="5" width="3.1640625" customWidth="1"/>
    <col min="6" max="6" width="1.33203125" customWidth="1"/>
    <col min="7" max="7" width="22.6640625" customWidth="1"/>
    <col min="8" max="8" width="8.83203125" customWidth="1"/>
    <col min="9" max="9" width="10" customWidth="1"/>
    <col min="10" max="10" width="10.33203125" customWidth="1"/>
    <col min="11" max="11" width="9.1640625" customWidth="1"/>
    <col min="12" max="12" width="9" customWidth="1"/>
    <col min="13" max="13" width="12.6640625" customWidth="1"/>
    <col min="25" max="25" width="13" customWidth="1"/>
  </cols>
  <sheetData>
    <row r="1" spans="1: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</row>
    <row r="2" spans="1: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</row>
    <row r="3" spans="1: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</row>
    <row r="4" spans="1:25">
      <c r="A4" s="37"/>
      <c r="B4" s="38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</row>
    <row r="5" spans="1:2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spans="1: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</row>
    <row r="7" spans="1: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</row>
    <row r="8" spans="1: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</row>
    <row r="9" spans="1: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</row>
    <row r="10" spans="1: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</row>
    <row r="11" spans="1: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</row>
    <row r="12" spans="1: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</row>
    <row r="14" spans="1: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1: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</row>
    <row r="17" spans="1:25">
      <c r="A17" s="37"/>
      <c r="B17" s="38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1: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</row>
    <row r="19" spans="1: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</row>
    <row r="20" spans="1:25">
      <c r="A20" s="37"/>
      <c r="B20" s="37"/>
      <c r="C20" s="37"/>
      <c r="D20" s="37"/>
      <c r="E20" s="38"/>
      <c r="F20" s="38"/>
      <c r="G20" s="37"/>
      <c r="H20" s="37"/>
      <c r="I20" s="38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</row>
    <row r="21" spans="1:25">
      <c r="A21" s="37"/>
      <c r="B21" s="37"/>
      <c r="C21" s="37"/>
      <c r="D21" s="37"/>
      <c r="E21" s="37"/>
      <c r="F21" s="37"/>
      <c r="G21" s="39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</row>
    <row r="22" spans="1: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</row>
    <row r="23" spans="1: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</row>
    <row r="24" spans="1: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</row>
    <row r="25" spans="1: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</row>
    <row r="26" spans="1:25">
      <c r="A26" s="393"/>
      <c r="B26" s="393"/>
      <c r="C26" s="393"/>
      <c r="D26" s="393"/>
      <c r="E26" s="393"/>
      <c r="F26" s="393"/>
      <c r="G26" s="393"/>
      <c r="H26" s="393"/>
      <c r="I26" s="393"/>
      <c r="J26" s="393"/>
      <c r="K26" s="393"/>
      <c r="L26" s="393"/>
      <c r="M26" s="393"/>
      <c r="N26" s="393"/>
      <c r="O26" s="393"/>
      <c r="P26" s="27"/>
    </row>
    <row r="27" spans="1:25" ht="22.5">
      <c r="A27" s="393"/>
      <c r="B27" s="393"/>
      <c r="C27" s="393"/>
      <c r="D27" s="393"/>
      <c r="E27" s="393"/>
      <c r="F27" s="393"/>
      <c r="G27" s="394" t="s">
        <v>32</v>
      </c>
      <c r="H27" s="394"/>
      <c r="I27" s="394"/>
      <c r="J27" s="395"/>
      <c r="K27" s="395"/>
      <c r="L27" s="393"/>
      <c r="M27" s="393"/>
      <c r="N27" s="393"/>
      <c r="O27" s="393"/>
      <c r="P27" s="27"/>
    </row>
    <row r="28" spans="1:25" ht="5.25" customHeight="1" thickBot="1">
      <c r="A28" s="393"/>
      <c r="B28" s="393"/>
      <c r="C28" s="393"/>
      <c r="D28" s="393"/>
      <c r="E28" s="393"/>
      <c r="F28" s="393"/>
      <c r="G28" s="393"/>
      <c r="H28" s="393"/>
      <c r="I28" s="393"/>
      <c r="J28" s="393"/>
      <c r="K28" s="393"/>
      <c r="L28" s="393"/>
      <c r="M28" s="393"/>
      <c r="N28" s="393"/>
      <c r="O28" s="393"/>
      <c r="P28" s="27"/>
    </row>
    <row r="29" spans="1:25" ht="14.25" thickTop="1" thickBot="1">
      <c r="A29" s="393"/>
      <c r="B29" s="393"/>
      <c r="C29" s="393"/>
      <c r="D29" s="393"/>
      <c r="E29" s="393"/>
      <c r="F29" s="393"/>
      <c r="G29" s="98"/>
      <c r="H29" s="389" t="s">
        <v>33</v>
      </c>
      <c r="I29" s="390"/>
      <c r="J29" s="391"/>
      <c r="K29" s="392" t="s">
        <v>34</v>
      </c>
      <c r="L29" s="392"/>
      <c r="M29" s="393"/>
      <c r="N29" s="393"/>
      <c r="O29" s="393"/>
      <c r="P29" s="27"/>
    </row>
    <row r="30" spans="1:25" ht="24.75" thickTop="1">
      <c r="A30" s="393"/>
      <c r="B30" s="393"/>
      <c r="C30" s="393"/>
      <c r="D30" s="393"/>
      <c r="E30" s="393"/>
      <c r="F30" s="393"/>
      <c r="G30" s="99"/>
      <c r="H30" s="387" t="s">
        <v>35</v>
      </c>
      <c r="I30" s="387" t="s">
        <v>36</v>
      </c>
      <c r="J30" s="387" t="s">
        <v>37</v>
      </c>
      <c r="K30" s="387" t="s">
        <v>35</v>
      </c>
      <c r="L30" s="388" t="s">
        <v>36</v>
      </c>
      <c r="M30" s="393"/>
      <c r="N30" s="393"/>
      <c r="O30" s="393"/>
      <c r="P30" s="27"/>
    </row>
    <row r="31" spans="1:25">
      <c r="A31" s="393"/>
      <c r="B31" s="393"/>
      <c r="C31" s="393"/>
      <c r="D31" s="393"/>
      <c r="E31" s="393"/>
      <c r="F31" s="393"/>
      <c r="G31" s="100" t="s">
        <v>2</v>
      </c>
      <c r="H31" s="443">
        <f>+Display!$AC$3/Tables!D4</f>
        <v>2.4758603614756129E-4</v>
      </c>
      <c r="I31" s="97">
        <v>0</v>
      </c>
      <c r="J31" s="130">
        <f t="shared" ref="J31:J40" si="0">+IF(H31&lt;0.1,IF(I31=0,0,(I31-H31)/H31),(I31-H31)/H31)</f>
        <v>0</v>
      </c>
      <c r="K31" s="102">
        <f>IF(H31&lt;0.5,0,+H31*Display!U3)</f>
        <v>0</v>
      </c>
      <c r="L31" s="55">
        <f>+I31*Display!U3</f>
        <v>0</v>
      </c>
      <c r="M31" s="393"/>
      <c r="N31" s="393"/>
      <c r="O31" s="396"/>
      <c r="P31" s="134"/>
      <c r="Q31" s="135"/>
    </row>
    <row r="32" spans="1:25">
      <c r="A32" s="393"/>
      <c r="B32" s="393"/>
      <c r="C32" s="393"/>
      <c r="D32" s="393"/>
      <c r="E32" s="393"/>
      <c r="F32" s="393"/>
      <c r="G32" s="100" t="s">
        <v>5</v>
      </c>
      <c r="H32" s="443">
        <f>+Display!$AC$3/Tables!D5</f>
        <v>1.0930992643441951E-3</v>
      </c>
      <c r="I32" s="97">
        <v>0</v>
      </c>
      <c r="J32" s="130">
        <f t="shared" si="0"/>
        <v>0</v>
      </c>
      <c r="K32" s="102">
        <f>IF(H32&lt;0.5,0,+H32*Display!U4)</f>
        <v>0</v>
      </c>
      <c r="L32" s="55">
        <f>+I32*Display!U4</f>
        <v>0</v>
      </c>
      <c r="M32" s="393"/>
      <c r="N32" s="393"/>
      <c r="O32" s="396"/>
      <c r="P32" s="134"/>
      <c r="Q32" s="135"/>
    </row>
    <row r="33" spans="1:17">
      <c r="A33" s="393"/>
      <c r="B33" s="393"/>
      <c r="C33" s="393"/>
      <c r="D33" s="393"/>
      <c r="E33" s="393"/>
      <c r="F33" s="393"/>
      <c r="G33" s="101" t="s">
        <v>10</v>
      </c>
      <c r="H33" s="443">
        <f>+Display!$AC$3/Tables!D6</f>
        <v>2.3625581779951332E-2</v>
      </c>
      <c r="I33" s="97">
        <v>0</v>
      </c>
      <c r="J33" s="130">
        <f t="shared" si="0"/>
        <v>0</v>
      </c>
      <c r="K33" s="102">
        <f>IF(H33&lt;0.5,0,+H33*Display!U5)</f>
        <v>0</v>
      </c>
      <c r="L33" s="55">
        <f>+I33*Display!U5</f>
        <v>0</v>
      </c>
      <c r="M33" s="393"/>
      <c r="N33" s="393"/>
      <c r="O33" s="396"/>
      <c r="P33" s="134"/>
      <c r="Q33" s="135"/>
    </row>
    <row r="34" spans="1:17" ht="11.25" customHeight="1">
      <c r="A34" s="393"/>
      <c r="B34" s="393"/>
      <c r="C34" s="393"/>
      <c r="D34" s="393"/>
      <c r="E34" s="393"/>
      <c r="F34" s="393"/>
      <c r="G34" s="100" t="s">
        <v>13</v>
      </c>
      <c r="H34" s="443">
        <f>+Display!$AC$3/Tables!D7</f>
        <v>0.11512249032971081</v>
      </c>
      <c r="I34" s="97">
        <v>0</v>
      </c>
      <c r="J34" s="130">
        <f t="shared" si="0"/>
        <v>-1</v>
      </c>
      <c r="K34" s="102">
        <f>IF(H34&lt;0.5,0,+H34*Display!U6)</f>
        <v>0</v>
      </c>
      <c r="L34" s="55">
        <f>+I34*Display!U6</f>
        <v>0</v>
      </c>
      <c r="M34" s="393"/>
      <c r="N34" s="393"/>
      <c r="O34" s="396"/>
      <c r="P34" s="134"/>
      <c r="Q34" s="135"/>
    </row>
    <row r="35" spans="1:17" ht="12.75" customHeight="1">
      <c r="A35" s="393"/>
      <c r="B35" s="393"/>
      <c r="C35" s="393"/>
      <c r="D35" s="393"/>
      <c r="E35" s="393"/>
      <c r="F35" s="393"/>
      <c r="G35" s="100" t="s">
        <v>17</v>
      </c>
      <c r="H35" s="443">
        <f>+Display!$AC$3/Tables!D8</f>
        <v>0.11014550220841732</v>
      </c>
      <c r="I35" s="97">
        <v>0</v>
      </c>
      <c r="J35" s="130">
        <f t="shared" si="0"/>
        <v>-1</v>
      </c>
      <c r="K35" s="102">
        <f>IF(H35&lt;0.5,0,+H35*Display!U7)</f>
        <v>0</v>
      </c>
      <c r="L35" s="55">
        <f>+I35*Display!U7</f>
        <v>0</v>
      </c>
      <c r="M35" s="393"/>
      <c r="N35" s="393"/>
      <c r="O35" s="396"/>
      <c r="P35" s="134"/>
      <c r="Q35" s="135"/>
    </row>
    <row r="36" spans="1:17">
      <c r="A36" s="393"/>
      <c r="B36" s="393"/>
      <c r="C36" s="393"/>
      <c r="D36" s="393"/>
      <c r="E36" s="393"/>
      <c r="F36" s="393"/>
      <c r="G36" s="100" t="s">
        <v>19</v>
      </c>
      <c r="H36" s="443">
        <f>+Display!$AC$3/Tables!D9</f>
        <v>0.11229394061896419</v>
      </c>
      <c r="I36" s="97">
        <v>1</v>
      </c>
      <c r="J36" s="130">
        <f t="shared" si="0"/>
        <v>7.9051999999999998</v>
      </c>
      <c r="K36" s="102">
        <f>IF(H36&lt;0.5,0,+H36*Display!U8)</f>
        <v>0</v>
      </c>
      <c r="L36" s="55">
        <f>+I36*Display!U8</f>
        <v>20</v>
      </c>
      <c r="M36" s="393"/>
      <c r="N36" s="393"/>
      <c r="O36" s="396"/>
      <c r="P36" s="134"/>
      <c r="Q36" s="135"/>
    </row>
    <row r="37" spans="1:17">
      <c r="A37" s="393"/>
      <c r="B37" s="393"/>
      <c r="C37" s="393"/>
      <c r="D37" s="393"/>
      <c r="E37" s="393"/>
      <c r="F37" s="393"/>
      <c r="G37" s="100" t="s">
        <v>21</v>
      </c>
      <c r="H37" s="443">
        <f>+Display!$AC$3/Tables!D10</f>
        <v>0.74449076831447292</v>
      </c>
      <c r="I37" s="97">
        <v>0</v>
      </c>
      <c r="J37" s="130">
        <f t="shared" si="0"/>
        <v>-1</v>
      </c>
      <c r="K37" s="102">
        <f>IF(H37&lt;0.5,0,+H37*Display!U9)</f>
        <v>11.167361524717094</v>
      </c>
      <c r="L37" s="55">
        <f>+I37*Display!U9</f>
        <v>0</v>
      </c>
      <c r="M37" s="393"/>
      <c r="N37" s="393"/>
      <c r="O37" s="396"/>
      <c r="P37" s="134"/>
      <c r="Q37" s="135"/>
    </row>
    <row r="38" spans="1:17">
      <c r="A38" s="393"/>
      <c r="B38" s="393"/>
      <c r="C38" s="393"/>
      <c r="D38" s="393"/>
      <c r="E38" s="393"/>
      <c r="F38" s="393"/>
      <c r="G38" s="100" t="s">
        <v>22</v>
      </c>
      <c r="H38" s="443">
        <f>+Display!$AC$3/Tables!D11</f>
        <v>1.2927913951804737</v>
      </c>
      <c r="I38" s="97">
        <v>1</v>
      </c>
      <c r="J38" s="130">
        <f t="shared" si="0"/>
        <v>-0.22648000000000001</v>
      </c>
      <c r="K38" s="102">
        <f>IF(H38&lt;0.5,0,+H38*Display!U10)</f>
        <v>12.927913951804737</v>
      </c>
      <c r="L38" s="55">
        <f>+I38*Display!U10</f>
        <v>10</v>
      </c>
      <c r="M38" s="393"/>
      <c r="N38" s="393"/>
      <c r="O38" s="396"/>
      <c r="P38" s="134"/>
      <c r="Q38" s="135"/>
    </row>
    <row r="39" spans="1:17">
      <c r="A39" s="393"/>
      <c r="B39" s="393"/>
      <c r="C39" s="393"/>
      <c r="D39" s="393"/>
      <c r="E39" s="393"/>
      <c r="F39" s="393"/>
      <c r="G39" s="100" t="s">
        <v>24</v>
      </c>
      <c r="H39" s="443">
        <f>+Display!$AC$3/Tables!D12</f>
        <v>2.1458306510450198</v>
      </c>
      <c r="I39" s="97">
        <v>1</v>
      </c>
      <c r="J39" s="130">
        <f t="shared" si="0"/>
        <v>-0.53398000000000001</v>
      </c>
      <c r="K39" s="102">
        <f>IF(H39&lt;0.5,0,+H39*Display!U11)</f>
        <v>10.7291532552251</v>
      </c>
      <c r="L39" s="55">
        <f>+I39*Display!U11</f>
        <v>5</v>
      </c>
      <c r="M39" s="393"/>
      <c r="N39" s="393"/>
      <c r="O39" s="396"/>
      <c r="P39" s="134"/>
      <c r="Q39" s="135"/>
    </row>
    <row r="40" spans="1:17" ht="13.5" thickBot="1">
      <c r="A40" s="393"/>
      <c r="B40" s="393"/>
      <c r="C40" s="393"/>
      <c r="D40" s="393"/>
      <c r="E40" s="393"/>
      <c r="F40" s="393"/>
      <c r="G40" s="100" t="s">
        <v>26</v>
      </c>
      <c r="H40" s="443">
        <f>+Display!$AC$3/Tables!D13</f>
        <v>5.4543471146503766</v>
      </c>
      <c r="I40" s="97">
        <v>7</v>
      </c>
      <c r="J40" s="130">
        <f t="shared" si="0"/>
        <v>0.28337999999999997</v>
      </c>
      <c r="K40" s="102">
        <f>IF(H40&lt;0.5,0,+H40*Display!U12)</f>
        <v>0</v>
      </c>
      <c r="L40" s="55">
        <f>+I40*Display!U12</f>
        <v>0</v>
      </c>
      <c r="M40" s="393"/>
      <c r="N40" s="393"/>
      <c r="O40" s="396"/>
      <c r="P40" s="134"/>
      <c r="Q40" s="135"/>
    </row>
    <row r="41" spans="1:17" ht="14.25" thickTop="1" thickBot="1">
      <c r="A41" s="393"/>
      <c r="B41" s="393"/>
      <c r="C41" s="393"/>
      <c r="D41" s="393"/>
      <c r="E41" s="393"/>
      <c r="F41" s="393"/>
      <c r="G41" s="401" t="s">
        <v>38</v>
      </c>
      <c r="H41" s="402">
        <f>SUM(H31:H40)</f>
        <v>9.9999881294278783</v>
      </c>
      <c r="I41" s="402">
        <f>SUM(I31:I40)</f>
        <v>10</v>
      </c>
      <c r="J41" s="402"/>
      <c r="K41" s="456">
        <f>SUM(K31:K40)</f>
        <v>34.824428731746934</v>
      </c>
      <c r="L41" s="457">
        <f>SUM(L31:L40)</f>
        <v>35</v>
      </c>
      <c r="M41" s="393"/>
      <c r="N41" s="393"/>
      <c r="O41" s="397"/>
      <c r="P41" s="134"/>
      <c r="Q41" s="134"/>
    </row>
    <row r="42" spans="1:17" ht="14.25" thickTop="1" thickBot="1">
      <c r="A42" s="393"/>
      <c r="B42" s="393"/>
      <c r="C42" s="393"/>
      <c r="D42" s="393"/>
      <c r="E42" s="393"/>
      <c r="F42" s="393"/>
      <c r="G42" s="399" t="s">
        <v>188</v>
      </c>
      <c r="H42" s="400">
        <f>+H41-H40</f>
        <v>4.5456410147775017</v>
      </c>
      <c r="I42" s="400">
        <f>+I41-I40</f>
        <v>3</v>
      </c>
      <c r="J42" s="400"/>
      <c r="K42" s="458">
        <f>+K41-K40</f>
        <v>34.824428731746934</v>
      </c>
      <c r="L42" s="458">
        <f>+L41-L40</f>
        <v>35</v>
      </c>
      <c r="M42" s="393"/>
      <c r="N42" s="393"/>
      <c r="O42" s="393"/>
      <c r="P42" s="27"/>
    </row>
    <row r="43" spans="1:17" ht="36.75" customHeight="1" thickTop="1">
      <c r="A43" s="393"/>
      <c r="B43" s="393"/>
      <c r="C43" s="393"/>
      <c r="D43" s="393"/>
      <c r="E43" s="393"/>
      <c r="F43" s="393"/>
      <c r="G43" s="393"/>
      <c r="H43" s="393"/>
      <c r="I43" s="393"/>
      <c r="J43" s="393"/>
      <c r="K43" s="393"/>
      <c r="L43" s="393"/>
      <c r="M43" s="393"/>
      <c r="N43" s="393"/>
      <c r="O43" s="393"/>
      <c r="P43" s="27"/>
    </row>
    <row r="44" spans="1:17">
      <c r="A44" s="393"/>
      <c r="B44" s="393"/>
      <c r="C44" s="393"/>
      <c r="D44" s="393"/>
      <c r="E44" s="393"/>
      <c r="F44" s="393"/>
      <c r="G44" s="393"/>
      <c r="H44" s="393"/>
      <c r="I44" s="393"/>
      <c r="J44" s="393"/>
      <c r="K44" s="393"/>
      <c r="L44" s="393"/>
      <c r="M44" s="393"/>
      <c r="N44" s="393"/>
      <c r="O44" s="393"/>
      <c r="P44" s="27"/>
    </row>
    <row r="45" spans="1:17">
      <c r="A45" s="393"/>
      <c r="B45" s="393"/>
      <c r="C45" s="393"/>
      <c r="D45" s="393"/>
      <c r="E45" s="27"/>
      <c r="F45" s="27"/>
      <c r="G45" s="27"/>
      <c r="H45" s="27"/>
      <c r="I45" s="27"/>
      <c r="J45" s="27"/>
      <c r="K45" s="27"/>
      <c r="L45" s="27"/>
      <c r="M45" s="393"/>
      <c r="N45" s="393"/>
      <c r="O45" s="393"/>
      <c r="P45" s="27"/>
    </row>
    <row r="46" spans="1:17">
      <c r="A46" s="393"/>
      <c r="B46" s="393"/>
      <c r="C46" s="393"/>
      <c r="D46" s="393"/>
      <c r="E46" s="27"/>
      <c r="F46" s="27"/>
      <c r="G46" s="27"/>
      <c r="H46" s="27"/>
      <c r="I46" s="27"/>
      <c r="J46" s="27"/>
      <c r="K46" s="27"/>
      <c r="L46" s="27"/>
      <c r="M46" s="393"/>
      <c r="N46" s="393"/>
      <c r="O46" s="393"/>
      <c r="P46" s="27"/>
    </row>
    <row r="47" spans="1:17">
      <c r="A47" s="393"/>
      <c r="B47" s="393"/>
      <c r="C47" s="393"/>
      <c r="D47" s="393"/>
      <c r="E47" s="27"/>
      <c r="F47" s="27"/>
      <c r="G47" s="27"/>
      <c r="H47" s="27"/>
      <c r="I47" s="27"/>
      <c r="J47" s="27"/>
      <c r="K47" s="27"/>
      <c r="L47" s="27"/>
      <c r="M47" s="393"/>
      <c r="N47" s="393"/>
      <c r="O47" s="393"/>
      <c r="P47" s="27"/>
    </row>
    <row r="48" spans="1:17">
      <c r="A48" s="393"/>
      <c r="B48" s="393"/>
      <c r="C48" s="393"/>
      <c r="D48" s="393"/>
      <c r="G48" s="27"/>
      <c r="H48" s="27"/>
      <c r="I48" s="27"/>
      <c r="J48" s="27"/>
      <c r="K48" s="27"/>
      <c r="M48" s="393"/>
      <c r="N48" s="393"/>
      <c r="O48" s="393"/>
    </row>
    <row r="49" spans="1:15">
      <c r="A49" s="393"/>
      <c r="B49" s="393"/>
      <c r="C49" s="393"/>
      <c r="D49" s="393"/>
      <c r="M49" s="393"/>
      <c r="N49" s="393"/>
      <c r="O49" s="393"/>
    </row>
    <row r="50" spans="1:15">
      <c r="A50" s="393"/>
      <c r="B50" s="393"/>
      <c r="C50" s="393"/>
      <c r="D50" s="393"/>
      <c r="M50" s="393"/>
      <c r="N50" s="393"/>
      <c r="O50" s="393"/>
    </row>
    <row r="51" spans="1:15">
      <c r="A51" s="393"/>
      <c r="B51" s="393"/>
      <c r="C51" s="393"/>
      <c r="D51" s="393"/>
      <c r="M51" s="393"/>
      <c r="N51" s="393"/>
      <c r="O51" s="393"/>
    </row>
    <row r="52" spans="1:15">
      <c r="A52" s="393"/>
      <c r="B52" s="393"/>
      <c r="C52" s="393"/>
      <c r="D52" s="393"/>
      <c r="M52" s="393"/>
      <c r="N52" s="393"/>
      <c r="O52" s="393"/>
    </row>
    <row r="53" spans="1:15">
      <c r="A53" s="393"/>
      <c r="B53" s="393"/>
      <c r="C53" s="393"/>
      <c r="D53" s="393"/>
      <c r="M53" s="393"/>
      <c r="N53" s="393"/>
      <c r="O53" s="393"/>
    </row>
    <row r="54" spans="1:15">
      <c r="A54" s="393"/>
      <c r="B54" s="393"/>
      <c r="C54" s="393"/>
      <c r="D54" s="393"/>
      <c r="M54" s="393"/>
      <c r="N54" s="393"/>
      <c r="O54" s="393"/>
    </row>
    <row r="55" spans="1:15">
      <c r="A55" s="393"/>
      <c r="B55" s="393"/>
      <c r="C55" s="393"/>
      <c r="D55" s="393"/>
      <c r="M55" s="393"/>
      <c r="N55" s="393"/>
      <c r="O55" s="393"/>
    </row>
    <row r="56" spans="1:15">
      <c r="A56" s="393"/>
      <c r="B56" s="393"/>
      <c r="C56" s="393"/>
      <c r="D56" s="393"/>
      <c r="M56" s="393"/>
      <c r="N56" s="393"/>
      <c r="O56" s="393"/>
    </row>
    <row r="57" spans="1:15">
      <c r="A57" s="393"/>
      <c r="B57" s="393"/>
      <c r="C57" s="393"/>
      <c r="D57" s="393"/>
      <c r="E57" s="393"/>
      <c r="F57" s="393"/>
      <c r="G57" s="393"/>
      <c r="H57" s="393"/>
      <c r="I57" s="393"/>
      <c r="J57" s="393"/>
      <c r="K57" s="393"/>
      <c r="L57" s="393"/>
      <c r="M57" s="393"/>
      <c r="N57" s="393"/>
      <c r="O57" s="393"/>
    </row>
    <row r="58" spans="1:15">
      <c r="A58" s="393"/>
      <c r="B58" s="393"/>
      <c r="C58" s="393"/>
      <c r="D58" s="393"/>
      <c r="E58" s="393"/>
      <c r="F58" s="393"/>
      <c r="G58" s="393"/>
      <c r="H58" s="393"/>
      <c r="I58" s="393"/>
      <c r="J58" s="393"/>
      <c r="K58" s="393"/>
      <c r="L58" s="393"/>
      <c r="M58" s="393"/>
      <c r="N58" s="393"/>
      <c r="O58" s="393"/>
    </row>
    <row r="59" spans="1:15">
      <c r="A59" s="393"/>
      <c r="B59" s="393"/>
      <c r="C59" s="393"/>
      <c r="D59" s="393"/>
      <c r="E59" s="393"/>
      <c r="F59" s="393"/>
      <c r="G59" s="393"/>
      <c r="H59" s="393"/>
      <c r="I59" s="393"/>
      <c r="J59" s="393"/>
      <c r="K59" s="393"/>
      <c r="L59" s="393"/>
      <c r="M59" s="393"/>
      <c r="N59" s="393"/>
      <c r="O59" s="393"/>
    </row>
    <row r="60" spans="1:15">
      <c r="A60" s="393"/>
      <c r="B60" s="393"/>
      <c r="C60" s="393"/>
      <c r="D60" s="393"/>
      <c r="M60" s="393"/>
      <c r="N60" s="393"/>
      <c r="O60" s="393"/>
    </row>
    <row r="61" spans="1:15">
      <c r="A61" s="393"/>
      <c r="B61" s="393"/>
      <c r="C61" s="393"/>
      <c r="D61" s="393"/>
      <c r="M61" s="393"/>
      <c r="N61" s="393"/>
      <c r="O61" s="393"/>
    </row>
    <row r="62" spans="1:15">
      <c r="A62" s="393"/>
      <c r="B62" s="393"/>
      <c r="C62" s="393"/>
      <c r="D62" s="393"/>
      <c r="M62" s="393"/>
      <c r="N62" s="393"/>
      <c r="O62" s="393"/>
    </row>
    <row r="63" spans="1:15">
      <c r="A63" s="393"/>
      <c r="B63" s="393"/>
      <c r="C63" s="393"/>
      <c r="D63" s="393"/>
      <c r="M63" s="393"/>
      <c r="N63" s="393"/>
      <c r="O63" s="393"/>
    </row>
    <row r="64" spans="1:15">
      <c r="A64" s="393"/>
      <c r="B64" s="393"/>
      <c r="C64" s="393"/>
      <c r="D64" s="393"/>
      <c r="M64" s="393"/>
      <c r="N64" s="393"/>
      <c r="O64" s="393"/>
    </row>
    <row r="65" spans="1:15">
      <c r="A65" s="393"/>
      <c r="B65" s="393"/>
      <c r="C65" s="393"/>
      <c r="D65" s="393"/>
      <c r="E65" s="393"/>
      <c r="F65" s="393"/>
      <c r="G65" s="393"/>
      <c r="H65" s="393"/>
      <c r="I65" s="393"/>
      <c r="J65" s="393"/>
      <c r="K65" s="393"/>
      <c r="L65" s="393"/>
      <c r="M65" s="393"/>
      <c r="N65" s="393"/>
      <c r="O65" s="393"/>
    </row>
    <row r="66" spans="1:15">
      <c r="A66" s="393"/>
      <c r="B66" s="393"/>
      <c r="C66" s="393"/>
      <c r="D66" s="393"/>
      <c r="E66" s="393"/>
      <c r="F66" s="393"/>
      <c r="G66" s="393"/>
      <c r="H66" s="393"/>
      <c r="I66" s="393"/>
      <c r="J66" s="393"/>
      <c r="K66" s="393"/>
      <c r="L66" s="393"/>
      <c r="M66" s="393"/>
      <c r="N66" s="393"/>
      <c r="O66" s="393"/>
    </row>
    <row r="67" spans="1:15">
      <c r="A67" s="393"/>
      <c r="B67" s="393"/>
      <c r="C67" s="393"/>
      <c r="D67" s="393"/>
      <c r="E67" s="393"/>
      <c r="F67" s="393"/>
      <c r="G67" s="393"/>
      <c r="H67" s="393"/>
      <c r="I67" s="393"/>
      <c r="J67" s="393"/>
      <c r="K67" s="393"/>
      <c r="L67" s="393"/>
      <c r="M67" s="393"/>
      <c r="N67" s="393"/>
      <c r="O67" s="393"/>
    </row>
    <row r="68" spans="1:15">
      <c r="A68" s="393"/>
      <c r="B68" s="393"/>
      <c r="C68" s="393"/>
      <c r="D68" s="393"/>
      <c r="E68" s="393"/>
      <c r="F68" s="393"/>
      <c r="G68" s="393"/>
      <c r="H68" s="393"/>
      <c r="I68" s="393"/>
      <c r="J68" s="393"/>
      <c r="K68" s="393"/>
      <c r="L68" s="393"/>
      <c r="M68" s="393"/>
      <c r="N68" s="393"/>
      <c r="O68" s="393"/>
    </row>
    <row r="69" spans="1:15">
      <c r="A69" s="393"/>
      <c r="B69" s="393"/>
      <c r="C69" s="393"/>
      <c r="D69" s="393"/>
      <c r="E69" s="393"/>
      <c r="F69" s="393"/>
      <c r="G69" s="393"/>
      <c r="H69" s="393"/>
      <c r="I69" s="393"/>
      <c r="J69" s="393"/>
      <c r="K69" s="393"/>
      <c r="L69" s="393"/>
      <c r="M69" s="393"/>
      <c r="N69" s="393"/>
      <c r="O69" s="393"/>
    </row>
    <row r="70" spans="1:15">
      <c r="A70" s="393"/>
      <c r="B70" s="393"/>
      <c r="C70" s="393"/>
      <c r="D70" s="393"/>
      <c r="E70" s="393"/>
      <c r="F70" s="393"/>
      <c r="G70" s="393"/>
      <c r="H70" s="393"/>
      <c r="I70" s="393"/>
      <c r="J70" s="393"/>
      <c r="K70" s="393"/>
      <c r="L70" s="393"/>
      <c r="M70" s="393"/>
      <c r="N70" s="393"/>
      <c r="O70" s="393"/>
    </row>
    <row r="71" spans="1:15">
      <c r="A71" s="393"/>
      <c r="B71" s="393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</row>
    <row r="72" spans="1:15">
      <c r="A72" s="393"/>
      <c r="B72" s="393"/>
      <c r="C72" s="393"/>
      <c r="D72" s="393"/>
      <c r="E72" s="393"/>
      <c r="F72" s="393"/>
      <c r="G72" s="393"/>
      <c r="H72" s="393"/>
      <c r="I72" s="393"/>
      <c r="J72" s="393"/>
      <c r="K72" s="393"/>
      <c r="L72" s="393"/>
      <c r="M72" s="393"/>
      <c r="N72" s="393"/>
      <c r="O72" s="393"/>
    </row>
    <row r="73" spans="1:15">
      <c r="A73" s="393"/>
      <c r="B73" s="393"/>
      <c r="C73" s="393"/>
      <c r="D73" s="393"/>
      <c r="E73" s="393"/>
      <c r="F73" s="393"/>
      <c r="G73" s="393"/>
      <c r="H73" s="393"/>
      <c r="I73" s="393"/>
      <c r="J73" s="393"/>
      <c r="K73" s="393"/>
      <c r="L73" s="393"/>
      <c r="M73" s="393"/>
      <c r="N73" s="393"/>
      <c r="O73" s="393"/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2" r:id="rId4" name="xmax">
              <controlPr defaultSize="0" autoFill="0" autoLine="0" autoPict="0" macro="[0]!xscale">
                <anchor moveWithCells="1">
                  <from>
                    <xdr:col>12</xdr:col>
                    <xdr:colOff>200025</xdr:colOff>
                    <xdr:row>17</xdr:row>
                    <xdr:rowOff>142875</xdr:rowOff>
                  </from>
                  <to>
                    <xdr:col>12</xdr:col>
                    <xdr:colOff>342900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ymin">
              <controlPr defaultSize="0" autoFill="0" autoLine="0" autoPict="0" macro="[0]!yscalemin">
                <anchor moveWithCells="1">
                  <from>
                    <xdr:col>3</xdr:col>
                    <xdr:colOff>523875</xdr:colOff>
                    <xdr:row>17</xdr:row>
                    <xdr:rowOff>9525</xdr:rowOff>
                  </from>
                  <to>
                    <xdr:col>3</xdr:col>
                    <xdr:colOff>657225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ymax">
              <controlPr defaultSize="0" autoFill="0" autoLine="0" autoPict="0" macro="[0]!yscalemax">
                <anchor moveWithCells="1">
                  <from>
                    <xdr:col>3</xdr:col>
                    <xdr:colOff>533400</xdr:colOff>
                    <xdr:row>2</xdr:row>
                    <xdr:rowOff>104775</xdr:rowOff>
                  </from>
                  <to>
                    <xdr:col>4</xdr:col>
                    <xdr:colOff>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7" name="Button 5">
              <controlPr defaultSize="0" print="0" autoFill="0" autoLine="0" autoPict="0" macro="[0]!gotograph">
                <anchor moveWithCells="1">
                  <from>
                    <xdr:col>2</xdr:col>
                    <xdr:colOff>228600</xdr:colOff>
                    <xdr:row>28</xdr:row>
                    <xdr:rowOff>0</xdr:rowOff>
                  </from>
                  <to>
                    <xdr:col>4</xdr:col>
                    <xdr:colOff>38100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8" name="Button 6">
              <controlPr defaultSize="0" print="0" autoFill="0" autoLine="0" autoPict="0" macro="[0]!gotohand">
                <anchor moveWithCells="1">
                  <from>
                    <xdr:col>2</xdr:col>
                    <xdr:colOff>228600</xdr:colOff>
                    <xdr:row>29</xdr:row>
                    <xdr:rowOff>133350</xdr:rowOff>
                  </from>
                  <to>
                    <xdr:col>4</xdr:col>
                    <xdr:colOff>38100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9" name="Button 7">
              <controlPr defaultSize="0" print="0" autoFill="0" autoLine="0" autoPict="0" macro="[0]!gotoshed">
                <anchor moveWithCells="1">
                  <from>
                    <xdr:col>2</xdr:col>
                    <xdr:colOff>228600</xdr:colOff>
                    <xdr:row>30</xdr:row>
                    <xdr:rowOff>142875</xdr:rowOff>
                  </from>
                  <to>
                    <xdr:col>4</xdr:col>
                    <xdr:colOff>38100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0" name="Button 8">
              <controlPr defaultSize="0" print="0" autoFill="0" autoLine="0" autoPict="0" macro="[0]!gotoprob">
                <anchor moveWithCells="1">
                  <from>
                    <xdr:col>2</xdr:col>
                    <xdr:colOff>228600</xdr:colOff>
                    <xdr:row>32</xdr:row>
                    <xdr:rowOff>133350</xdr:rowOff>
                  </from>
                  <to>
                    <xdr:col>4</xdr:col>
                    <xdr:colOff>38100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1" name="Button 9">
              <controlPr defaultSize="0" print="0" autoFill="0" autoLine="0" autoPict="0" macro="[0]!gotograph">
                <anchor moveWithCells="1" sizeWithCells="1">
                  <from>
                    <xdr:col>1</xdr:col>
                    <xdr:colOff>0</xdr:colOff>
                    <xdr:row>1</xdr:row>
                    <xdr:rowOff>57150</xdr:rowOff>
                  </from>
                  <to>
                    <xdr:col>3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2" name="Button 10">
              <controlPr defaultSize="0" print="0" autoFill="0" autoLine="0" autoPict="0" macro="[0]!gotohand">
                <anchor moveWithCells="1" siz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3</xdr:col>
                    <xdr:colOff>171450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3" name="Button 11">
              <controlPr defaultSize="0" print="0" autoFill="0" autoLine="0" autoPict="0" macro="[0]!gotoshed">
                <anchor moveWithCells="1" sizeWithCells="1">
                  <from>
                    <xdr:col>1</xdr:col>
                    <xdr:colOff>0</xdr:colOff>
                    <xdr:row>6</xdr:row>
                    <xdr:rowOff>114300</xdr:rowOff>
                  </from>
                  <to>
                    <xdr:col>3</xdr:col>
                    <xdr:colOff>171450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4" name="Button 12">
              <controlPr defaultSize="0" print="0" autoFill="0" autoLine="0" autoPict="0" macro="[0]!gotoprob">
                <anchor moveWithCells="1" sizeWithCells="1">
                  <from>
                    <xdr:col>1</xdr:col>
                    <xdr:colOff>0</xdr:colOff>
                    <xdr:row>8</xdr:row>
                    <xdr:rowOff>57150</xdr:rowOff>
                  </from>
                  <to>
                    <xdr:col>3</xdr:col>
                    <xdr:colOff>171450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5" name="Button 13">
              <controlPr defaultSize="0" print="0" autoFill="0" autoLine="0" autoPict="0" macro="[0]!gotoplay">
                <anchor moveWithCells="1" sizeWithCells="1">
                  <from>
                    <xdr:col>1</xdr:col>
                    <xdr:colOff>0</xdr:colOff>
                    <xdr:row>10</xdr:row>
                    <xdr:rowOff>133350</xdr:rowOff>
                  </from>
                  <to>
                    <xdr:col>3</xdr:col>
                    <xdr:colOff>171450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6" name="Button 14">
              <controlPr defaultSize="0" print="0" autoFill="0" autoLine="0" autoPict="0" macro="[0]!gotoplay">
                <anchor moveWithCells="1">
                  <from>
                    <xdr:col>2</xdr:col>
                    <xdr:colOff>219075</xdr:colOff>
                    <xdr:row>38</xdr:row>
                    <xdr:rowOff>104775</xdr:rowOff>
                  </from>
                  <to>
                    <xdr:col>4</xdr:col>
                    <xdr:colOff>28575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7" name="Button 15">
              <controlPr defaultSize="0" print="0" autoFill="0" autoLine="0" autoPict="0" macro="[0]!reset">
                <anchor moveWithCells="1" sizeWithCells="1">
                  <from>
                    <xdr:col>0</xdr:col>
                    <xdr:colOff>142875</xdr:colOff>
                    <xdr:row>18</xdr:row>
                    <xdr:rowOff>28575</xdr:rowOff>
                  </from>
                  <to>
                    <xdr:col>3</xdr:col>
                    <xdr:colOff>152400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8" name="Button 16">
              <controlPr defaultSize="0" print="0" autoFill="0" autoLine="0" autoPict="0" macro="[0]!xaxismax">
                <anchor moveWithCells="1" sizeWithCells="1">
                  <from>
                    <xdr:col>12</xdr:col>
                    <xdr:colOff>123825</xdr:colOff>
                    <xdr:row>16</xdr:row>
                    <xdr:rowOff>95250</xdr:rowOff>
                  </from>
                  <to>
                    <xdr:col>12</xdr:col>
                    <xdr:colOff>438150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19" name="Button 17">
              <controlPr defaultSize="0" print="0" autoFill="0" autoLine="0" autoPict="0" macro="[0]!yaxismax">
                <anchor moveWithCells="1" sizeWithCells="1">
                  <from>
                    <xdr:col>3</xdr:col>
                    <xdr:colOff>466725</xdr:colOff>
                    <xdr:row>1</xdr:row>
                    <xdr:rowOff>28575</xdr:rowOff>
                  </from>
                  <to>
                    <xdr:col>4</xdr:col>
                    <xdr:colOff>66675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0" name="Button 19">
              <controlPr defaultSize="0" print="0" autoFill="0" autoLine="0" autoPict="0" macro="[0]!PayoutChart">
                <anchor moveWithCells="1" sizeWithCells="1">
                  <from>
                    <xdr:col>1</xdr:col>
                    <xdr:colOff>0</xdr:colOff>
                    <xdr:row>2</xdr:row>
                    <xdr:rowOff>152400</xdr:rowOff>
                  </from>
                  <to>
                    <xdr:col>3</xdr:col>
                    <xdr:colOff>171450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1" name="Button 20">
              <controlPr defaultSize="0" print="0" autoFill="0" autoLine="0" autoPict="0" macro="[0]!gotograph">
                <anchor moveWithCells="1" sizeWithCells="1">
                  <from>
                    <xdr:col>13</xdr:col>
                    <xdr:colOff>85725</xdr:colOff>
                    <xdr:row>1</xdr:row>
                    <xdr:rowOff>95250</xdr:rowOff>
                  </from>
                  <to>
                    <xdr:col>14</xdr:col>
                    <xdr:colOff>276225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2" name="Button 21">
              <controlPr defaultSize="0" print="0" autoFill="0" autoLine="0" autoPict="0" macro="[0]!gotoplay">
                <anchor moveWithCells="1" sizeWithCells="1">
                  <from>
                    <xdr:col>13</xdr:col>
                    <xdr:colOff>85725</xdr:colOff>
                    <xdr:row>10</xdr:row>
                    <xdr:rowOff>66675</xdr:rowOff>
                  </from>
                  <to>
                    <xdr:col>14</xdr:col>
                    <xdr:colOff>276225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3" name="xmaxPayout">
              <controlPr defaultSize="0" print="0" autoFill="0" autoLine="0" autoPict="0" macro="[0]!xaxismaxPayout">
                <anchor moveWithCells="1" sizeWithCells="1">
                  <from>
                    <xdr:col>23</xdr:col>
                    <xdr:colOff>485775</xdr:colOff>
                    <xdr:row>17</xdr:row>
                    <xdr:rowOff>19050</xdr:rowOff>
                  </from>
                  <to>
                    <xdr:col>24</xdr:col>
                    <xdr:colOff>266700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24" name="Button 28">
              <controlPr defaultSize="0" print="0" autoFill="0" autoLine="0" autoPict="0" macro="[0]!gotoplay">
                <anchor moveWithCells="1">
                  <from>
                    <xdr:col>1</xdr:col>
                    <xdr:colOff>295275</xdr:colOff>
                    <xdr:row>51</xdr:row>
                    <xdr:rowOff>95250</xdr:rowOff>
                  </from>
                  <to>
                    <xdr:col>3</xdr:col>
                    <xdr:colOff>466725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25" name="Button 29">
              <controlPr defaultSize="0" print="0" autoFill="0" autoLine="0" autoPict="0" macro="[0]!WinHandChart">
                <anchor moveWithCells="1" sizeWithCells="1">
                  <from>
                    <xdr:col>2</xdr:col>
                    <xdr:colOff>200025</xdr:colOff>
                    <xdr:row>34</xdr:row>
                    <xdr:rowOff>142875</xdr:rowOff>
                  </from>
                  <to>
                    <xdr:col>4</xdr:col>
                    <xdr:colOff>9525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26" name="Button 30">
              <controlPr defaultSize="0" print="0" autoFill="0" autoLine="0" autoPict="0" macro="[0]!gotohand">
                <anchor moveWithCells="1">
                  <from>
                    <xdr:col>1</xdr:col>
                    <xdr:colOff>304800</xdr:colOff>
                    <xdr:row>44</xdr:row>
                    <xdr:rowOff>28575</xdr:rowOff>
                  </from>
                  <to>
                    <xdr:col>3</xdr:col>
                    <xdr:colOff>476250</xdr:colOff>
                    <xdr:row>45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75"/>
  <sheetViews>
    <sheetView showGridLines="0" showZeros="0" showOutlineSymbols="0" topLeftCell="A10" workbookViewId="0">
      <selection activeCell="I17" sqref="I17"/>
    </sheetView>
  </sheetViews>
  <sheetFormatPr defaultRowHeight="12.75"/>
  <cols>
    <col min="1" max="1" width="15" customWidth="1"/>
    <col min="2" max="2" width="25.83203125" customWidth="1"/>
    <col min="3" max="3" width="10.5" customWidth="1"/>
    <col min="4" max="4" width="9.83203125" style="17" customWidth="1"/>
    <col min="5" max="5" width="8.1640625" style="17" customWidth="1"/>
    <col min="6" max="6" width="10.83203125" style="3" customWidth="1"/>
    <col min="7" max="7" width="12.5" style="3" customWidth="1"/>
    <col min="8" max="8" width="10.5" customWidth="1"/>
    <col min="9" max="9" width="11" customWidth="1"/>
    <col min="10" max="10" width="5.83203125" style="3" customWidth="1"/>
    <col min="11" max="11" width="4.6640625" customWidth="1"/>
    <col min="12" max="14" width="4.83203125" customWidth="1"/>
  </cols>
  <sheetData>
    <row r="1" spans="1:14">
      <c r="A1" s="27"/>
      <c r="B1" s="27"/>
      <c r="C1" s="27"/>
      <c r="D1" s="74"/>
      <c r="E1" s="74"/>
      <c r="F1" s="46"/>
      <c r="G1" s="46"/>
      <c r="H1" s="27"/>
      <c r="I1" s="27"/>
      <c r="J1" s="46"/>
      <c r="K1" s="27"/>
      <c r="L1" s="27"/>
    </row>
    <row r="2" spans="1:14" ht="23.25" thickBot="1">
      <c r="A2" s="27"/>
      <c r="B2" s="53" t="s">
        <v>39</v>
      </c>
      <c r="C2" s="53"/>
      <c r="D2" s="53"/>
      <c r="E2" s="53"/>
      <c r="F2" s="467"/>
      <c r="G2" s="467"/>
      <c r="H2" s="27"/>
      <c r="I2" s="27"/>
      <c r="J2" s="46"/>
      <c r="K2" s="27"/>
      <c r="L2" s="27"/>
    </row>
    <row r="3" spans="1:14" ht="36.75" thickTop="1">
      <c r="A3" s="27"/>
      <c r="B3" s="48"/>
      <c r="C3" s="51" t="s">
        <v>40</v>
      </c>
      <c r="D3" s="51" t="s">
        <v>41</v>
      </c>
      <c r="E3" s="51" t="s">
        <v>42</v>
      </c>
      <c r="F3" s="51" t="s">
        <v>43</v>
      </c>
      <c r="G3" s="52" t="s">
        <v>44</v>
      </c>
      <c r="H3" s="27"/>
      <c r="I3" s="27"/>
      <c r="J3" s="27"/>
      <c r="K3" s="27"/>
      <c r="L3" s="27"/>
      <c r="N3" s="22"/>
    </row>
    <row r="4" spans="1:14">
      <c r="A4" s="8"/>
      <c r="B4" s="49" t="s">
        <v>2</v>
      </c>
      <c r="C4" s="60">
        <f t="shared" ref="C4:C10" si="0">1*100/D4</f>
        <v>2.4758603614756128E-3</v>
      </c>
      <c r="D4" s="465">
        <v>40390</v>
      </c>
      <c r="E4" s="466" t="str">
        <f>+Display!U3</f>
        <v>4000</v>
      </c>
      <c r="F4" s="468">
        <f>+E4/5</f>
        <v>800</v>
      </c>
      <c r="G4" s="478">
        <f t="shared" ref="G4:G10" si="1">+F4*C4</f>
        <v>1.9806882891804902</v>
      </c>
      <c r="H4" s="27"/>
      <c r="I4" s="27"/>
      <c r="J4" s="27"/>
      <c r="K4" s="27"/>
      <c r="L4" s="27"/>
    </row>
    <row r="5" spans="1:14">
      <c r="A5" s="8"/>
      <c r="B5" s="49" t="s">
        <v>5</v>
      </c>
      <c r="C5" s="60">
        <f t="shared" si="0"/>
        <v>1.0930992643441951E-2</v>
      </c>
      <c r="D5" s="465">
        <v>9148.2999999999993</v>
      </c>
      <c r="E5" s="466" t="str">
        <f>+Display!U4</f>
        <v>250</v>
      </c>
      <c r="F5" s="468">
        <f t="shared" ref="F5:F13" si="2">+E5/5</f>
        <v>50</v>
      </c>
      <c r="G5" s="478">
        <f t="shared" si="1"/>
        <v>0.54654963217209751</v>
      </c>
      <c r="H5" s="27"/>
      <c r="I5" s="27"/>
      <c r="J5" s="27"/>
      <c r="K5" s="27"/>
      <c r="L5" s="27"/>
    </row>
    <row r="6" spans="1:14">
      <c r="A6" s="8"/>
      <c r="B6" s="50" t="s">
        <v>10</v>
      </c>
      <c r="C6" s="60">
        <f t="shared" si="0"/>
        <v>0.23625581779951332</v>
      </c>
      <c r="D6" s="465">
        <v>423.27</v>
      </c>
      <c r="E6" s="466" t="str">
        <f>+Display!U5</f>
        <v>125</v>
      </c>
      <c r="F6" s="468">
        <f t="shared" si="2"/>
        <v>25</v>
      </c>
      <c r="G6" s="478">
        <f t="shared" si="1"/>
        <v>5.9063954449878331</v>
      </c>
      <c r="H6" s="27"/>
      <c r="I6" s="27"/>
      <c r="J6" s="27"/>
      <c r="K6" s="27"/>
      <c r="L6" s="27"/>
    </row>
    <row r="7" spans="1:14">
      <c r="A7" s="8"/>
      <c r="B7" s="49" t="s">
        <v>13</v>
      </c>
      <c r="C7" s="60">
        <f t="shared" si="0"/>
        <v>1.151224903297108</v>
      </c>
      <c r="D7" s="465">
        <v>86.864000000000004</v>
      </c>
      <c r="E7" s="466">
        <f>+Display!U6</f>
        <v>45</v>
      </c>
      <c r="F7" s="468">
        <f t="shared" si="2"/>
        <v>9</v>
      </c>
      <c r="G7" s="478">
        <f t="shared" si="1"/>
        <v>10.361024129673972</v>
      </c>
      <c r="H7" s="27"/>
      <c r="I7" s="27"/>
      <c r="J7" s="27"/>
      <c r="K7" s="27"/>
      <c r="L7" s="27"/>
    </row>
    <row r="8" spans="1:14">
      <c r="A8" s="8"/>
      <c r="B8" s="49" t="s">
        <v>17</v>
      </c>
      <c r="C8" s="60">
        <f t="shared" si="0"/>
        <v>1.1014550220841732</v>
      </c>
      <c r="D8" s="465">
        <v>90.789000000000001</v>
      </c>
      <c r="E8" s="466">
        <f>+Display!U7</f>
        <v>30</v>
      </c>
      <c r="F8" s="468">
        <f t="shared" si="2"/>
        <v>6</v>
      </c>
      <c r="G8" s="478">
        <f t="shared" si="1"/>
        <v>6.6087301325050394</v>
      </c>
      <c r="H8" s="27"/>
      <c r="I8" s="27"/>
      <c r="J8" s="27"/>
      <c r="K8" s="27"/>
      <c r="L8" s="27"/>
    </row>
    <row r="9" spans="1:14">
      <c r="A9" s="8"/>
      <c r="B9" s="49" t="s">
        <v>19</v>
      </c>
      <c r="C9" s="60">
        <f t="shared" si="0"/>
        <v>1.1229394061896418</v>
      </c>
      <c r="D9" s="465">
        <v>89.052000000000007</v>
      </c>
      <c r="E9" s="466">
        <f>+Display!U8</f>
        <v>20</v>
      </c>
      <c r="F9" s="468">
        <f t="shared" si="2"/>
        <v>4</v>
      </c>
      <c r="G9" s="478">
        <f t="shared" si="1"/>
        <v>4.4917576247585673</v>
      </c>
      <c r="H9" s="27"/>
      <c r="I9" s="27"/>
      <c r="J9" s="27"/>
      <c r="K9" s="27"/>
      <c r="L9" s="27"/>
    </row>
    <row r="10" spans="1:14">
      <c r="A10" s="8"/>
      <c r="B10" s="49" t="s">
        <v>21</v>
      </c>
      <c r="C10" s="60">
        <f t="shared" si="0"/>
        <v>7.4449076831447289</v>
      </c>
      <c r="D10" s="465">
        <v>13.432</v>
      </c>
      <c r="E10" s="466">
        <v>15</v>
      </c>
      <c r="F10" s="468">
        <f t="shared" si="2"/>
        <v>3</v>
      </c>
      <c r="G10" s="478">
        <f t="shared" si="1"/>
        <v>22.334723049434189</v>
      </c>
      <c r="H10" s="27"/>
      <c r="I10" s="27"/>
      <c r="J10" s="27"/>
      <c r="K10" s="27"/>
      <c r="L10" s="27"/>
    </row>
    <row r="11" spans="1:14">
      <c r="A11" s="8"/>
      <c r="B11" s="49" t="s">
        <v>22</v>
      </c>
      <c r="C11" s="60">
        <f>1*100/D11</f>
        <v>12.927913951804737</v>
      </c>
      <c r="D11" s="465">
        <v>7.7351999999999999</v>
      </c>
      <c r="E11" s="466">
        <v>10</v>
      </c>
      <c r="F11" s="468">
        <f t="shared" si="2"/>
        <v>2</v>
      </c>
      <c r="G11" s="478">
        <f>+F11*C11</f>
        <v>25.855827903609473</v>
      </c>
      <c r="H11" s="27"/>
      <c r="I11" s="27"/>
      <c r="J11" s="27"/>
      <c r="K11" s="27"/>
      <c r="L11" s="27"/>
    </row>
    <row r="12" spans="1:14">
      <c r="A12" s="27"/>
      <c r="B12" s="49" t="s">
        <v>45</v>
      </c>
      <c r="C12" s="60">
        <f>1*100/D12</f>
        <v>21.458306510450196</v>
      </c>
      <c r="D12" s="465">
        <v>4.6601999999999997</v>
      </c>
      <c r="E12" s="466">
        <f>+Display!U11</f>
        <v>5</v>
      </c>
      <c r="F12" s="468">
        <f t="shared" si="2"/>
        <v>1</v>
      </c>
      <c r="G12" s="478">
        <f>+F12*C12</f>
        <v>21.458306510450196</v>
      </c>
      <c r="H12" s="27"/>
      <c r="I12" s="27"/>
      <c r="J12" s="27"/>
      <c r="K12" s="27"/>
      <c r="L12" s="27"/>
    </row>
    <row r="13" spans="1:14" ht="13.5" thickBot="1">
      <c r="A13" s="27"/>
      <c r="B13" s="49" t="s">
        <v>26</v>
      </c>
      <c r="C13" s="60">
        <f>1*100/D13</f>
        <v>54.543471146503769</v>
      </c>
      <c r="D13" s="465">
        <v>1.8333999999999999</v>
      </c>
      <c r="E13" s="466">
        <f>+Display!U12</f>
        <v>0</v>
      </c>
      <c r="F13" s="468">
        <f t="shared" si="2"/>
        <v>0</v>
      </c>
      <c r="G13" s="478">
        <f>+F13*C13</f>
        <v>0</v>
      </c>
      <c r="H13" s="27"/>
      <c r="I13" s="27"/>
      <c r="J13" s="27"/>
      <c r="K13" s="27"/>
      <c r="L13" s="27"/>
    </row>
    <row r="14" spans="1:14" ht="14.25" thickTop="1" thickBot="1">
      <c r="A14" s="27"/>
      <c r="B14" s="54" t="s">
        <v>46</v>
      </c>
      <c r="C14" s="272">
        <f>SUM(C4:C13)</f>
        <v>99.999881294278794</v>
      </c>
      <c r="D14" s="274">
        <f>SUM(D4:D13)</f>
        <v>50255.935800000007</v>
      </c>
      <c r="E14" s="79">
        <f>SUM(E4:E13)</f>
        <v>125</v>
      </c>
      <c r="F14" s="469"/>
      <c r="G14" s="479">
        <f>SUM(G4:G13)</f>
        <v>99.544002716771871</v>
      </c>
      <c r="H14" s="27"/>
      <c r="I14" s="27"/>
      <c r="J14" s="46"/>
      <c r="K14" s="27"/>
      <c r="L14" s="27"/>
    </row>
    <row r="15" spans="1:14" ht="13.5" thickTop="1">
      <c r="A15" s="27"/>
      <c r="B15" s="27"/>
      <c r="C15" s="27"/>
      <c r="D15" s="74"/>
      <c r="E15" s="74"/>
      <c r="F15" s="46"/>
      <c r="G15" s="46"/>
      <c r="H15" s="27"/>
      <c r="I15" s="27"/>
      <c r="J15" s="46"/>
      <c r="K15" s="27"/>
      <c r="L15" s="27"/>
    </row>
    <row r="16" spans="1:14" ht="44.25" customHeight="1">
      <c r="A16" s="27"/>
      <c r="B16" s="27"/>
      <c r="C16" s="27"/>
      <c r="D16" s="74"/>
      <c r="E16" s="74"/>
      <c r="F16" s="46"/>
      <c r="G16" s="46"/>
      <c r="H16" s="27"/>
      <c r="I16" s="27"/>
      <c r="J16" s="46"/>
      <c r="K16" s="27"/>
      <c r="L16" s="27"/>
    </row>
    <row r="17" spans="1:12" ht="20.25" customHeight="1">
      <c r="A17" s="27"/>
      <c r="B17" s="27"/>
      <c r="C17" s="27"/>
      <c r="D17" s="74"/>
      <c r="E17" s="74"/>
      <c r="F17" s="46"/>
      <c r="G17" s="46"/>
      <c r="H17" s="27"/>
      <c r="I17" s="27"/>
      <c r="J17" s="46"/>
      <c r="K17" s="27"/>
      <c r="L17" s="27"/>
    </row>
    <row r="18" spans="1:12" ht="3.75" customHeight="1">
      <c r="A18" s="27"/>
      <c r="B18" s="27"/>
      <c r="C18" s="27"/>
      <c r="D18" s="74"/>
      <c r="E18" s="74"/>
      <c r="F18" s="46"/>
      <c r="G18" s="46"/>
      <c r="H18" s="27"/>
      <c r="I18" s="27"/>
      <c r="J18" s="46"/>
      <c r="K18" s="27"/>
      <c r="L18" s="27"/>
    </row>
    <row r="19" spans="1:12" s="89" customFormat="1" ht="16.5" customHeight="1" thickBot="1">
      <c r="A19" s="87"/>
      <c r="B19" s="75" t="s">
        <v>47</v>
      </c>
      <c r="C19" s="47"/>
      <c r="D19" s="47"/>
      <c r="E19" s="47"/>
      <c r="F19" s="470"/>
      <c r="G19" s="470"/>
      <c r="H19" s="75"/>
      <c r="I19" s="76"/>
      <c r="J19" s="46"/>
      <c r="K19" s="88"/>
      <c r="L19" s="87"/>
    </row>
    <row r="20" spans="1:12" s="22" customFormat="1" ht="36.75" customHeight="1" thickTop="1">
      <c r="A20" s="77"/>
      <c r="B20" s="59"/>
      <c r="C20" s="51" t="s">
        <v>48</v>
      </c>
      <c r="D20" s="51" t="s">
        <v>49</v>
      </c>
      <c r="E20" s="51" t="s">
        <v>50</v>
      </c>
      <c r="F20" s="51" t="s">
        <v>51</v>
      </c>
      <c r="G20" s="51" t="s">
        <v>52</v>
      </c>
      <c r="H20" s="52" t="s">
        <v>53</v>
      </c>
      <c r="I20" s="227" t="s">
        <v>0</v>
      </c>
      <c r="J20" s="81"/>
      <c r="K20" s="77"/>
      <c r="L20" s="77"/>
    </row>
    <row r="21" spans="1:12" ht="12" customHeight="1">
      <c r="A21" s="27"/>
      <c r="B21" s="63" t="s">
        <v>2</v>
      </c>
      <c r="C21" s="85" t="s">
        <v>54</v>
      </c>
      <c r="D21" s="61" t="s">
        <v>54</v>
      </c>
      <c r="E21" s="61" t="s">
        <v>54</v>
      </c>
      <c r="F21" s="471" t="s">
        <v>54</v>
      </c>
      <c r="G21" s="471" t="s">
        <v>54</v>
      </c>
      <c r="H21" s="107" t="s">
        <v>54</v>
      </c>
      <c r="I21" s="219" t="s">
        <v>3</v>
      </c>
      <c r="J21" s="46"/>
      <c r="K21" s="27"/>
      <c r="L21" s="27"/>
    </row>
    <row r="22" spans="1:12" ht="12" customHeight="1">
      <c r="A22" s="27"/>
      <c r="B22" s="63" t="s">
        <v>5</v>
      </c>
      <c r="C22" s="85" t="s">
        <v>6</v>
      </c>
      <c r="D22" s="61" t="s">
        <v>6</v>
      </c>
      <c r="E22" s="61" t="s">
        <v>6</v>
      </c>
      <c r="F22" s="471" t="s">
        <v>6</v>
      </c>
      <c r="G22" s="471" t="s">
        <v>6</v>
      </c>
      <c r="H22" s="107" t="s">
        <v>6</v>
      </c>
      <c r="I22" s="219" t="s">
        <v>6</v>
      </c>
      <c r="J22" s="46"/>
      <c r="K22" s="27"/>
      <c r="L22" s="27"/>
    </row>
    <row r="23" spans="1:12" ht="12" customHeight="1">
      <c r="A23" s="27"/>
      <c r="B23" s="64" t="s">
        <v>55</v>
      </c>
      <c r="C23" s="85" t="s">
        <v>56</v>
      </c>
      <c r="D23" s="85" t="s">
        <v>56</v>
      </c>
      <c r="E23" s="85" t="s">
        <v>56</v>
      </c>
      <c r="F23" s="472" t="s">
        <v>56</v>
      </c>
      <c r="G23" s="472" t="s">
        <v>56</v>
      </c>
      <c r="H23" s="121" t="s">
        <v>56</v>
      </c>
      <c r="I23" s="219" t="s">
        <v>11</v>
      </c>
      <c r="J23" s="46"/>
      <c r="K23" s="27"/>
      <c r="L23" s="27"/>
    </row>
    <row r="24" spans="1:12" ht="12" customHeight="1">
      <c r="A24" s="27"/>
      <c r="B24" s="63" t="s">
        <v>13</v>
      </c>
      <c r="C24" s="62">
        <v>45</v>
      </c>
      <c r="D24" s="62">
        <v>40</v>
      </c>
      <c r="E24" s="62">
        <v>50</v>
      </c>
      <c r="F24" s="471">
        <v>45</v>
      </c>
      <c r="G24" s="471">
        <v>40</v>
      </c>
      <c r="H24" s="108">
        <v>50</v>
      </c>
      <c r="I24" s="220">
        <v>35</v>
      </c>
      <c r="J24" s="46"/>
      <c r="K24" s="27"/>
      <c r="L24" s="27"/>
    </row>
    <row r="25" spans="1:12" ht="12" customHeight="1">
      <c r="A25" s="27"/>
      <c r="B25" s="63" t="s">
        <v>17</v>
      </c>
      <c r="C25" s="62">
        <v>30</v>
      </c>
      <c r="D25" s="62">
        <v>25</v>
      </c>
      <c r="E25" s="62">
        <v>35</v>
      </c>
      <c r="F25" s="471">
        <v>30</v>
      </c>
      <c r="G25" s="471">
        <v>25</v>
      </c>
      <c r="H25" s="108">
        <v>30</v>
      </c>
      <c r="I25" s="220">
        <v>25</v>
      </c>
      <c r="J25" s="46"/>
      <c r="K25" s="27"/>
      <c r="L25" s="27"/>
    </row>
    <row r="26" spans="1:12" ht="12" customHeight="1">
      <c r="A26" s="27"/>
      <c r="B26" s="63" t="s">
        <v>19</v>
      </c>
      <c r="C26" s="62">
        <v>20</v>
      </c>
      <c r="D26" s="62">
        <v>20</v>
      </c>
      <c r="E26" s="62">
        <v>25</v>
      </c>
      <c r="F26" s="471">
        <v>20</v>
      </c>
      <c r="G26" s="471">
        <v>20</v>
      </c>
      <c r="H26" s="108">
        <v>25</v>
      </c>
      <c r="I26" s="220">
        <v>15</v>
      </c>
      <c r="J26" s="46"/>
      <c r="K26" s="27"/>
      <c r="L26" s="27"/>
    </row>
    <row r="27" spans="1:12" ht="12" customHeight="1">
      <c r="A27" s="27"/>
      <c r="B27" s="63" t="s">
        <v>21</v>
      </c>
      <c r="C27" s="62">
        <v>15</v>
      </c>
      <c r="D27" s="62">
        <v>15</v>
      </c>
      <c r="E27" s="62">
        <v>15</v>
      </c>
      <c r="F27" s="471">
        <v>15</v>
      </c>
      <c r="G27" s="471">
        <v>15</v>
      </c>
      <c r="H27" s="108">
        <v>15</v>
      </c>
      <c r="I27" s="220">
        <v>10</v>
      </c>
      <c r="J27" s="46"/>
      <c r="K27" s="27"/>
      <c r="L27" s="27"/>
    </row>
    <row r="28" spans="1:12" ht="12" customHeight="1">
      <c r="A28" s="27"/>
      <c r="B28" s="63" t="s">
        <v>22</v>
      </c>
      <c r="C28" s="62">
        <v>10</v>
      </c>
      <c r="D28" s="62">
        <v>10</v>
      </c>
      <c r="E28" s="62">
        <v>5</v>
      </c>
      <c r="F28" s="471">
        <v>5</v>
      </c>
      <c r="G28" s="471">
        <v>10</v>
      </c>
      <c r="H28" s="108">
        <v>5</v>
      </c>
      <c r="I28" s="220">
        <v>5</v>
      </c>
      <c r="J28" s="46"/>
      <c r="K28" s="27"/>
      <c r="L28" s="27"/>
    </row>
    <row r="29" spans="1:12" ht="12" customHeight="1">
      <c r="A29" s="27"/>
      <c r="B29" s="63" t="s">
        <v>45</v>
      </c>
      <c r="C29" s="62">
        <v>5</v>
      </c>
      <c r="D29" s="62">
        <v>5</v>
      </c>
      <c r="E29" s="62">
        <v>5</v>
      </c>
      <c r="F29" s="471">
        <v>5</v>
      </c>
      <c r="G29" s="471">
        <v>5</v>
      </c>
      <c r="H29" s="108">
        <v>5</v>
      </c>
      <c r="I29" s="220">
        <v>5</v>
      </c>
      <c r="J29" s="46"/>
      <c r="K29" s="27"/>
      <c r="L29" s="27"/>
    </row>
    <row r="30" spans="1:12" ht="12" customHeight="1" thickBot="1">
      <c r="A30" s="27"/>
      <c r="B30" s="63" t="s">
        <v>26</v>
      </c>
      <c r="C30" s="62">
        <v>0</v>
      </c>
      <c r="D30" s="62">
        <v>0</v>
      </c>
      <c r="E30" s="62">
        <v>0</v>
      </c>
      <c r="F30" s="471">
        <v>0</v>
      </c>
      <c r="G30" s="471">
        <v>0</v>
      </c>
      <c r="H30" s="108">
        <v>0</v>
      </c>
      <c r="I30" s="220"/>
      <c r="J30" s="46"/>
      <c r="K30" s="27"/>
      <c r="L30" s="27"/>
    </row>
    <row r="31" spans="1:12" ht="14.25" thickTop="1" thickBot="1">
      <c r="A31" s="27"/>
      <c r="B31" s="80" t="s">
        <v>57</v>
      </c>
      <c r="C31" s="437">
        <v>99.544002716771857</v>
      </c>
      <c r="D31" s="437">
        <v>97.29132279139057</v>
      </c>
      <c r="E31" s="437">
        <v>89.991708096538048</v>
      </c>
      <c r="F31" s="473">
        <v>86.616088764967117</v>
      </c>
      <c r="G31" s="473">
        <v>97.29132279139057</v>
      </c>
      <c r="H31" s="438">
        <v>88.890253074453867</v>
      </c>
      <c r="I31" s="221">
        <v>99</v>
      </c>
      <c r="J31" s="46"/>
      <c r="K31" s="27"/>
      <c r="L31" s="27"/>
    </row>
    <row r="32" spans="1:12" ht="4.9000000000000004" customHeight="1" thickTop="1">
      <c r="B32" s="59"/>
      <c r="C32" s="51"/>
      <c r="D32" s="51"/>
      <c r="E32" s="51"/>
      <c r="F32" s="51"/>
      <c r="G32" s="51"/>
      <c r="H32" s="109"/>
      <c r="I32" s="222"/>
      <c r="J32" s="46"/>
      <c r="K32" s="27"/>
      <c r="L32" s="27"/>
    </row>
    <row r="33" spans="1:12" ht="12" customHeight="1">
      <c r="A33" s="27"/>
      <c r="B33" s="64" t="s">
        <v>58</v>
      </c>
      <c r="C33" s="62"/>
      <c r="D33" s="62">
        <v>400</v>
      </c>
      <c r="E33" s="62">
        <v>800</v>
      </c>
      <c r="F33" s="471">
        <v>800</v>
      </c>
      <c r="G33" s="471">
        <v>400</v>
      </c>
      <c r="H33" s="108">
        <v>800</v>
      </c>
      <c r="I33" s="224">
        <v>1</v>
      </c>
      <c r="J33" s="46"/>
      <c r="K33" s="27"/>
      <c r="L33" s="27"/>
    </row>
    <row r="34" spans="1:12" ht="12" customHeight="1">
      <c r="A34" s="27"/>
      <c r="B34" s="64" t="s">
        <v>59</v>
      </c>
      <c r="C34" s="62"/>
      <c r="D34" s="62"/>
      <c r="E34" s="62"/>
      <c r="F34" s="471"/>
      <c r="G34" s="471">
        <v>200</v>
      </c>
      <c r="H34" s="108">
        <v>400</v>
      </c>
      <c r="I34" s="224">
        <v>3</v>
      </c>
      <c r="J34" s="46"/>
      <c r="K34" s="27"/>
      <c r="L34" s="27"/>
    </row>
    <row r="35" spans="1:12" ht="12" customHeight="1">
      <c r="A35" s="27"/>
      <c r="B35" s="64" t="s">
        <v>60</v>
      </c>
      <c r="C35" s="62"/>
      <c r="D35" s="62">
        <v>200</v>
      </c>
      <c r="E35" s="62">
        <v>400</v>
      </c>
      <c r="F35" s="471">
        <v>400</v>
      </c>
      <c r="G35" s="471"/>
      <c r="H35" s="108"/>
      <c r="I35" s="224">
        <v>3</v>
      </c>
      <c r="J35" s="46"/>
      <c r="K35" s="27"/>
      <c r="L35" s="27"/>
    </row>
    <row r="36" spans="1:12" ht="12" customHeight="1">
      <c r="A36" s="27"/>
      <c r="B36" s="64" t="s">
        <v>61</v>
      </c>
      <c r="C36" s="62"/>
      <c r="D36" s="62"/>
      <c r="E36" s="62"/>
      <c r="F36" s="471"/>
      <c r="G36" s="471">
        <v>100</v>
      </c>
      <c r="H36" s="108">
        <v>250</v>
      </c>
      <c r="I36" s="224">
        <v>9</v>
      </c>
      <c r="J36" s="46"/>
      <c r="K36" s="27"/>
      <c r="L36" s="27"/>
    </row>
    <row r="37" spans="1:12" ht="12" customHeight="1">
      <c r="A37" s="27"/>
      <c r="B37" s="105" t="s">
        <v>62</v>
      </c>
      <c r="C37" s="106"/>
      <c r="D37" s="106">
        <v>125</v>
      </c>
      <c r="E37" s="106">
        <v>250</v>
      </c>
      <c r="F37" s="474">
        <v>125</v>
      </c>
      <c r="G37" s="474"/>
      <c r="H37" s="110"/>
      <c r="I37" s="224">
        <v>9</v>
      </c>
      <c r="J37" s="46"/>
      <c r="K37" s="27"/>
      <c r="L37" s="27"/>
    </row>
    <row r="38" spans="1:12" ht="12" customHeight="1" thickBot="1">
      <c r="A38" s="27"/>
      <c r="B38" s="103" t="s">
        <v>63</v>
      </c>
      <c r="C38" s="104"/>
      <c r="D38" s="296">
        <v>7.7237478895994727</v>
      </c>
      <c r="E38" s="296">
        <v>15.447495779198945</v>
      </c>
      <c r="F38" s="475">
        <v>11.358452778822755</v>
      </c>
      <c r="G38" s="475">
        <v>6.9059392895242349</v>
      </c>
      <c r="H38" s="297">
        <v>15.447495779198945</v>
      </c>
      <c r="I38" s="223"/>
      <c r="J38" s="46"/>
      <c r="K38" s="27"/>
      <c r="L38" s="27"/>
    </row>
    <row r="39" spans="1:12" ht="14.25" thickTop="1" thickBot="1">
      <c r="A39" s="27"/>
      <c r="B39" s="80" t="s">
        <v>57</v>
      </c>
      <c r="C39" s="78"/>
      <c r="D39" s="272">
        <v>7.72374788959947</v>
      </c>
      <c r="E39" s="272">
        <v>11.3584527788228</v>
      </c>
      <c r="F39" s="476">
        <v>11.3584527788228</v>
      </c>
      <c r="G39" s="476">
        <v>6.9059392895242304</v>
      </c>
      <c r="H39" s="273">
        <v>15.447495779198899</v>
      </c>
      <c r="I39" s="221"/>
      <c r="J39" s="46"/>
      <c r="K39" s="27"/>
      <c r="L39" s="27"/>
    </row>
    <row r="40" spans="1:12" ht="14.25" thickTop="1" thickBot="1">
      <c r="A40" s="27"/>
      <c r="B40" s="80" t="s">
        <v>64</v>
      </c>
      <c r="C40" s="272">
        <v>99.54</v>
      </c>
      <c r="D40" s="272">
        <v>99.165999999999997</v>
      </c>
      <c r="E40" s="272">
        <v>100.173</v>
      </c>
      <c r="F40" s="476">
        <v>98.831999999999994</v>
      </c>
      <c r="G40" s="476">
        <v>99.679000000000002</v>
      </c>
      <c r="H40" s="273">
        <v>101.108</v>
      </c>
      <c r="I40" s="221"/>
      <c r="J40" s="46"/>
      <c r="K40" s="27"/>
      <c r="L40" s="27"/>
    </row>
    <row r="41" spans="1:12" ht="14.25" thickTop="1" thickBot="1">
      <c r="A41" s="27"/>
      <c r="B41" s="80" t="s">
        <v>65</v>
      </c>
      <c r="C41" s="272">
        <f t="shared" ref="C41:H41" si="3">+C31+C39</f>
        <v>99.544002716771857</v>
      </c>
      <c r="D41" s="272">
        <f t="shared" si="3"/>
        <v>105.01507068099004</v>
      </c>
      <c r="E41" s="272">
        <f t="shared" si="3"/>
        <v>101.35016087536084</v>
      </c>
      <c r="F41" s="476">
        <f t="shared" si="3"/>
        <v>97.974541543789911</v>
      </c>
      <c r="G41" s="476">
        <f t="shared" si="3"/>
        <v>104.1972620809148</v>
      </c>
      <c r="H41" s="272">
        <f t="shared" si="3"/>
        <v>104.33774885365277</v>
      </c>
      <c r="I41" s="221"/>
      <c r="J41" s="46"/>
      <c r="K41" s="27"/>
      <c r="L41" s="27"/>
    </row>
    <row r="42" spans="1:12" ht="13.5" thickTop="1">
      <c r="A42" s="27"/>
      <c r="B42" s="27"/>
      <c r="C42" s="27"/>
      <c r="D42" s="86"/>
      <c r="E42" s="86"/>
      <c r="F42" s="477"/>
      <c r="G42" s="477"/>
      <c r="H42" s="94"/>
      <c r="I42" s="27"/>
      <c r="J42" s="46"/>
      <c r="K42" s="27"/>
      <c r="L42" s="27"/>
    </row>
    <row r="43" spans="1:12">
      <c r="A43" s="27"/>
      <c r="B43" s="27"/>
      <c r="C43" s="27"/>
      <c r="D43" s="74"/>
      <c r="E43" s="74"/>
      <c r="F43" s="46"/>
      <c r="H43" s="27"/>
      <c r="I43" s="27"/>
      <c r="J43" s="46"/>
      <c r="K43" s="27"/>
      <c r="L43" s="27"/>
    </row>
    <row r="44" spans="1:12" ht="18" customHeight="1">
      <c r="A44" s="27"/>
      <c r="B44" s="27"/>
      <c r="C44" s="86"/>
      <c r="D44" s="86"/>
      <c r="E44" s="86"/>
      <c r="F44" s="477"/>
      <c r="G44" s="46"/>
      <c r="H44" s="86"/>
      <c r="I44" s="27"/>
      <c r="J44" s="46"/>
      <c r="K44" s="27"/>
      <c r="L44" s="27"/>
    </row>
    <row r="45" spans="1:12" ht="5.25" customHeight="1" thickBot="1">
      <c r="A45" s="27"/>
      <c r="B45" s="27"/>
      <c r="C45" s="27"/>
      <c r="D45" s="74"/>
      <c r="E45" s="74"/>
      <c r="F45" s="46"/>
      <c r="G45" s="46"/>
      <c r="H45" s="27"/>
      <c r="J45" s="46"/>
      <c r="K45" s="27"/>
      <c r="L45" s="27"/>
    </row>
    <row r="46" spans="1:12" ht="12.75" customHeight="1" thickTop="1" thickBot="1">
      <c r="A46" s="27"/>
      <c r="B46" s="120" t="s">
        <v>66</v>
      </c>
      <c r="C46" s="117" t="s">
        <v>67</v>
      </c>
      <c r="D46" s="74"/>
      <c r="E46" s="74"/>
      <c r="F46" s="46"/>
      <c r="G46" s="46"/>
      <c r="H46" s="27"/>
      <c r="I46" s="27"/>
    </row>
    <row r="47" spans="1:12" ht="9.9499999999999993" customHeight="1" thickTop="1">
      <c r="A47" s="27"/>
      <c r="B47" s="123" t="s">
        <v>2</v>
      </c>
      <c r="C47" s="118">
        <v>1</v>
      </c>
      <c r="D47" s="74"/>
      <c r="E47" s="74"/>
      <c r="F47" s="46"/>
      <c r="G47" s="46"/>
      <c r="H47" s="27"/>
      <c r="I47" s="27"/>
    </row>
    <row r="48" spans="1:12" ht="9.9499999999999993" customHeight="1">
      <c r="A48" s="27"/>
      <c r="B48" s="124" t="s">
        <v>5</v>
      </c>
      <c r="C48" s="119">
        <v>2</v>
      </c>
      <c r="D48" s="74"/>
      <c r="E48" s="74"/>
      <c r="F48" s="46"/>
      <c r="G48" s="46"/>
      <c r="H48" s="27"/>
      <c r="I48" s="27"/>
    </row>
    <row r="49" spans="1:10" ht="9.9499999999999993" customHeight="1">
      <c r="A49" s="27"/>
      <c r="B49" s="124" t="s">
        <v>55</v>
      </c>
      <c r="C49" s="119">
        <v>3</v>
      </c>
      <c r="D49" s="74"/>
      <c r="E49" s="74"/>
      <c r="F49" s="46"/>
      <c r="G49" s="46"/>
      <c r="H49" s="27"/>
      <c r="I49" s="27"/>
    </row>
    <row r="50" spans="1:10" ht="9.9499999999999993" customHeight="1">
      <c r="A50" s="27"/>
      <c r="B50" s="125" t="s">
        <v>68</v>
      </c>
      <c r="C50" s="119">
        <v>4</v>
      </c>
      <c r="D50" s="74"/>
      <c r="E50" s="74"/>
      <c r="F50" s="46"/>
      <c r="G50" s="46"/>
      <c r="H50" s="27"/>
      <c r="I50" s="27"/>
    </row>
    <row r="51" spans="1:10" ht="9.9499999999999993" customHeight="1">
      <c r="A51" s="27"/>
      <c r="B51" s="124" t="s">
        <v>13</v>
      </c>
      <c r="C51" s="119">
        <v>5</v>
      </c>
      <c r="D51" s="74"/>
      <c r="E51" s="149" t="s">
        <v>69</v>
      </c>
      <c r="G51" s="46"/>
      <c r="H51" s="27"/>
      <c r="I51" s="27"/>
    </row>
    <row r="52" spans="1:10" ht="9.9499999999999993" customHeight="1">
      <c r="A52" s="27"/>
      <c r="B52" s="124" t="s">
        <v>17</v>
      </c>
      <c r="C52" s="119">
        <v>6</v>
      </c>
      <c r="D52" s="74"/>
      <c r="E52" s="150" t="s">
        <v>70</v>
      </c>
      <c r="G52" s="46"/>
      <c r="H52" s="27"/>
      <c r="I52" s="27"/>
    </row>
    <row r="53" spans="1:10" ht="9.9499999999999993" customHeight="1">
      <c r="A53" s="27"/>
      <c r="B53" s="124" t="s">
        <v>21</v>
      </c>
      <c r="C53" s="119">
        <v>7</v>
      </c>
      <c r="D53" s="74"/>
      <c r="E53" s="74"/>
      <c r="F53" s="46"/>
      <c r="G53" s="46"/>
      <c r="H53" s="27"/>
      <c r="I53" s="27"/>
    </row>
    <row r="54" spans="1:10" ht="9.9499999999999993" customHeight="1">
      <c r="A54" s="27"/>
      <c r="B54" s="124" t="s">
        <v>19</v>
      </c>
      <c r="C54" s="119">
        <v>8</v>
      </c>
      <c r="D54" s="74"/>
      <c r="E54" s="74"/>
      <c r="F54" s="46"/>
      <c r="G54" s="480"/>
      <c r="H54" s="149"/>
      <c r="I54" s="27"/>
    </row>
    <row r="55" spans="1:10" ht="9.9499999999999993" customHeight="1">
      <c r="A55" s="27"/>
      <c r="B55" s="124" t="s">
        <v>22</v>
      </c>
      <c r="C55" s="119">
        <v>9</v>
      </c>
      <c r="D55" s="74"/>
      <c r="E55" s="152" t="s">
        <v>71</v>
      </c>
      <c r="F55" s="46"/>
      <c r="G55" s="480"/>
      <c r="H55" s="150"/>
      <c r="I55" s="27"/>
    </row>
    <row r="56" spans="1:10" ht="9.9499999999999993" customHeight="1">
      <c r="A56" s="27"/>
      <c r="B56" s="124" t="s">
        <v>24</v>
      </c>
      <c r="C56" s="119">
        <v>10</v>
      </c>
      <c r="D56" s="74"/>
      <c r="E56" s="152" t="s">
        <v>72</v>
      </c>
      <c r="F56" s="46"/>
      <c r="G56" s="46"/>
      <c r="H56" s="27"/>
      <c r="I56" s="27"/>
    </row>
    <row r="57" spans="1:10" ht="9.9499999999999993" customHeight="1">
      <c r="A57" s="27"/>
      <c r="B57" s="125" t="s">
        <v>73</v>
      </c>
      <c r="C57" s="119">
        <v>11</v>
      </c>
      <c r="D57" s="74"/>
      <c r="E57" s="74"/>
      <c r="F57" s="46"/>
      <c r="G57" s="46"/>
      <c r="H57" s="27"/>
      <c r="I57" s="27"/>
      <c r="J57"/>
    </row>
    <row r="58" spans="1:10" ht="9.9499999999999993" customHeight="1">
      <c r="A58" s="27"/>
      <c r="B58" s="125" t="s">
        <v>74</v>
      </c>
      <c r="C58" s="119">
        <v>12</v>
      </c>
      <c r="D58" s="74"/>
      <c r="E58" s="151" t="s">
        <v>75</v>
      </c>
      <c r="F58" s="46"/>
      <c r="G58" s="46"/>
      <c r="H58" s="27"/>
      <c r="I58" s="27"/>
    </row>
    <row r="59" spans="1:10" ht="9.9499999999999993" customHeight="1">
      <c r="A59" s="27"/>
      <c r="B59" s="125" t="s">
        <v>76</v>
      </c>
      <c r="C59" s="119">
        <v>13</v>
      </c>
      <c r="D59" s="74"/>
      <c r="E59" s="74"/>
      <c r="F59" s="46"/>
      <c r="G59" s="46"/>
      <c r="H59" s="27"/>
      <c r="I59" s="27"/>
    </row>
    <row r="60" spans="1:10" ht="9.9499999999999993" customHeight="1">
      <c r="A60" s="27"/>
      <c r="B60" s="129" t="s">
        <v>77</v>
      </c>
      <c r="C60" s="119">
        <v>14</v>
      </c>
      <c r="D60" s="74"/>
      <c r="E60" s="152" t="s">
        <v>78</v>
      </c>
      <c r="F60" s="46"/>
      <c r="G60" s="46"/>
      <c r="H60" s="27"/>
      <c r="I60" s="27"/>
    </row>
    <row r="61" spans="1:10" ht="9.9499999999999993" customHeight="1">
      <c r="A61" s="27"/>
      <c r="B61" s="125" t="s">
        <v>79</v>
      </c>
      <c r="C61" s="119">
        <v>15</v>
      </c>
      <c r="D61" s="74"/>
      <c r="E61" s="74"/>
      <c r="F61" s="46"/>
      <c r="G61" s="46"/>
      <c r="H61" s="27"/>
      <c r="I61" s="27"/>
    </row>
    <row r="62" spans="1:10" ht="9.9499999999999993" customHeight="1">
      <c r="A62" s="27"/>
      <c r="B62" s="125" t="s">
        <v>80</v>
      </c>
      <c r="C62" s="119">
        <v>16</v>
      </c>
      <c r="D62" s="74"/>
      <c r="E62" s="74"/>
      <c r="F62" s="46"/>
      <c r="G62" s="46"/>
      <c r="H62" s="27"/>
      <c r="I62" s="27"/>
    </row>
    <row r="63" spans="1:10" ht="9.9499999999999993" customHeight="1">
      <c r="A63" s="148" t="s">
        <v>81</v>
      </c>
      <c r="B63" s="125" t="s">
        <v>91</v>
      </c>
      <c r="C63" s="119">
        <v>17</v>
      </c>
      <c r="D63" s="74"/>
      <c r="E63" s="74"/>
      <c r="F63" s="46"/>
      <c r="G63" s="46"/>
      <c r="H63" s="27"/>
      <c r="I63" s="27"/>
    </row>
    <row r="64" spans="1:10" ht="9.9499999999999993" customHeight="1">
      <c r="A64" s="148" t="s">
        <v>83</v>
      </c>
      <c r="B64" s="125" t="s">
        <v>85</v>
      </c>
      <c r="C64" s="119">
        <v>19</v>
      </c>
      <c r="D64" s="74"/>
      <c r="E64" s="74"/>
      <c r="F64" s="46"/>
      <c r="G64" s="46"/>
      <c r="H64" s="27"/>
      <c r="I64" s="27"/>
    </row>
    <row r="65" spans="1:9" ht="9.9499999999999993" customHeight="1">
      <c r="A65" s="148" t="s">
        <v>81</v>
      </c>
      <c r="B65" s="125" t="s">
        <v>87</v>
      </c>
      <c r="C65" s="119">
        <v>20</v>
      </c>
      <c r="D65" s="74"/>
      <c r="E65" s="74"/>
      <c r="F65" s="46"/>
      <c r="G65" s="46"/>
      <c r="H65" s="27"/>
      <c r="I65" s="27"/>
    </row>
    <row r="66" spans="1:9" ht="9.9499999999999993" customHeight="1">
      <c r="A66" s="148" t="s">
        <v>83</v>
      </c>
      <c r="B66" s="125" t="s">
        <v>86</v>
      </c>
      <c r="C66" s="119">
        <v>21</v>
      </c>
      <c r="D66" s="74"/>
      <c r="E66" s="74"/>
      <c r="F66" s="46"/>
      <c r="G66" s="46"/>
      <c r="H66" s="27"/>
      <c r="I66" s="27"/>
    </row>
    <row r="67" spans="1:9" ht="9.9499999999999993" customHeight="1">
      <c r="A67" s="27"/>
      <c r="B67" s="125" t="s">
        <v>82</v>
      </c>
      <c r="C67" s="119">
        <v>22</v>
      </c>
      <c r="D67" s="74"/>
      <c r="E67" s="74"/>
      <c r="F67" s="46"/>
      <c r="G67" s="46"/>
      <c r="H67" s="27"/>
      <c r="I67" s="27"/>
    </row>
    <row r="68" spans="1:9" ht="9.9499999999999993" customHeight="1">
      <c r="A68" s="27"/>
      <c r="B68" s="125" t="s">
        <v>84</v>
      </c>
      <c r="C68" s="119">
        <v>22</v>
      </c>
      <c r="D68" s="74"/>
      <c r="E68" s="74"/>
      <c r="F68" s="46"/>
      <c r="G68" s="46"/>
      <c r="H68" s="27"/>
      <c r="I68" s="27"/>
    </row>
    <row r="69" spans="1:9" ht="9.9499999999999993" customHeight="1">
      <c r="A69" s="27"/>
      <c r="B69" s="125" t="s">
        <v>88</v>
      </c>
      <c r="C69" s="119">
        <v>22</v>
      </c>
      <c r="D69" s="74"/>
      <c r="E69" s="74"/>
      <c r="F69" s="46"/>
      <c r="G69" s="46"/>
      <c r="H69" s="27"/>
      <c r="I69" s="27"/>
    </row>
    <row r="70" spans="1:9" ht="9.9499999999999993" customHeight="1">
      <c r="A70" s="27"/>
      <c r="B70" s="125" t="s">
        <v>90</v>
      </c>
      <c r="C70" s="126">
        <v>23</v>
      </c>
      <c r="D70" s="74"/>
      <c r="E70" s="74"/>
      <c r="F70" s="46"/>
      <c r="G70" s="46"/>
      <c r="H70" s="27"/>
      <c r="I70" s="27"/>
    </row>
    <row r="71" spans="1:9" ht="9.9499999999999993" customHeight="1">
      <c r="A71" s="27"/>
      <c r="B71" s="125" t="s">
        <v>89</v>
      </c>
      <c r="C71" s="119">
        <v>24</v>
      </c>
      <c r="D71" s="74"/>
      <c r="E71" s="74"/>
      <c r="F71" s="46"/>
      <c r="G71" s="46"/>
      <c r="H71" s="27"/>
      <c r="I71" s="27"/>
    </row>
    <row r="72" spans="1:9" ht="9.9499999999999993" customHeight="1">
      <c r="A72" s="27"/>
      <c r="B72" s="129" t="s">
        <v>26</v>
      </c>
      <c r="C72" s="119">
        <v>25</v>
      </c>
      <c r="D72" s="74"/>
      <c r="E72" s="74"/>
      <c r="F72" s="46"/>
      <c r="G72" s="46"/>
      <c r="H72" s="27"/>
    </row>
    <row r="73" spans="1:9" ht="9.9499999999999993" customHeight="1">
      <c r="A73" s="27"/>
      <c r="B73" s="125" t="s">
        <v>92</v>
      </c>
      <c r="C73" s="119">
        <v>18</v>
      </c>
      <c r="D73" s="74"/>
      <c r="E73" s="74"/>
      <c r="F73" s="46"/>
      <c r="G73" s="46"/>
      <c r="H73" s="27"/>
    </row>
    <row r="74" spans="1:9" ht="2.4500000000000002" customHeight="1" thickBot="1">
      <c r="A74" s="27"/>
      <c r="B74" s="127"/>
      <c r="C74" s="128"/>
      <c r="D74" s="74"/>
      <c r="E74" s="74"/>
      <c r="F74" s="46"/>
      <c r="G74" s="46"/>
      <c r="H74" s="27"/>
    </row>
    <row r="75" spans="1:9" ht="13.5" thickTop="1"/>
  </sheetData>
  <sortState xmlns:xlrd2="http://schemas.microsoft.com/office/spreadsheetml/2017/richdata2" ref="B48:C72">
    <sortCondition ref="C48"/>
  </sortState>
  <phoneticPr fontId="2" type="noConversion"/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Line="0" autoPict="0" macro="[0]!gotograph">
                <anchor moveWithCells="1" sizeWithCells="1">
                  <from>
                    <xdr:col>0</xdr:col>
                    <xdr:colOff>66675</xdr:colOff>
                    <xdr:row>19</xdr:row>
                    <xdr:rowOff>19050</xdr:rowOff>
                  </from>
                  <to>
                    <xdr:col>0</xdr:col>
                    <xdr:colOff>790575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Line="0" autoPict="0" macro="[0]!gotohand">
                <anchor moveWithCells="1" sizeWithCells="1">
                  <from>
                    <xdr:col>0</xdr:col>
                    <xdr:colOff>66675</xdr:colOff>
                    <xdr:row>19</xdr:row>
                    <xdr:rowOff>295275</xdr:rowOff>
                  </from>
                  <to>
                    <xdr:col>0</xdr:col>
                    <xdr:colOff>790575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Line="0" autoPict="0" macro="[0]!gotoshed">
                <anchor moveWithCells="1" sizeWithCells="1">
                  <from>
                    <xdr:col>0</xdr:col>
                    <xdr:colOff>66675</xdr:colOff>
                    <xdr:row>20</xdr:row>
                    <xdr:rowOff>104775</xdr:rowOff>
                  </from>
                  <to>
                    <xdr:col>0</xdr:col>
                    <xdr:colOff>790575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Line="0" autoPict="0" macro="[0]!gotoprob">
                <anchor moveWithCells="1" sizeWithCells="1">
                  <from>
                    <xdr:col>0</xdr:col>
                    <xdr:colOff>66675</xdr:colOff>
                    <xdr:row>22</xdr:row>
                    <xdr:rowOff>76200</xdr:rowOff>
                  </from>
                  <to>
                    <xdr:col>0</xdr:col>
                    <xdr:colOff>790575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Line="0" autoPict="0" macro="[0]!gotograph">
                <anchor moveWithCells="1" sizeWithCells="1">
                  <from>
                    <xdr:col>0</xdr:col>
                    <xdr:colOff>76200</xdr:colOff>
                    <xdr:row>2</xdr:row>
                    <xdr:rowOff>28575</xdr:rowOff>
                  </from>
                  <to>
                    <xdr:col>0</xdr:col>
                    <xdr:colOff>800100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Line="0" autoPict="0" macro="[0]!gotohand">
                <anchor moveWithCells="1" sizeWithCells="1">
                  <from>
                    <xdr:col>0</xdr:col>
                    <xdr:colOff>85725</xdr:colOff>
                    <xdr:row>2</xdr:row>
                    <xdr:rowOff>285750</xdr:rowOff>
                  </from>
                  <to>
                    <xdr:col>0</xdr:col>
                    <xdr:colOff>809625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Line="0" autoPict="0" macro="[0]!gotoshed">
                <anchor moveWithCells="1" sizeWithCells="1">
                  <from>
                    <xdr:col>0</xdr:col>
                    <xdr:colOff>76200</xdr:colOff>
                    <xdr:row>3</xdr:row>
                    <xdr:rowOff>85725</xdr:rowOff>
                  </from>
                  <to>
                    <xdr:col>0</xdr:col>
                    <xdr:colOff>800100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Line="0" autoPict="0" macro="[0]!gotoprob">
                <anchor moveWithCells="1" sizeWithCells="1">
                  <from>
                    <xdr:col>0</xdr:col>
                    <xdr:colOff>76200</xdr:colOff>
                    <xdr:row>5</xdr:row>
                    <xdr:rowOff>28575</xdr:rowOff>
                  </from>
                  <to>
                    <xdr:col>0</xdr:col>
                    <xdr:colOff>800100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Line="0" autoPict="0" macro="[0]!gotoplay">
                <anchor moveWithCells="1" sizeWithCells="1">
                  <from>
                    <xdr:col>0</xdr:col>
                    <xdr:colOff>76200</xdr:colOff>
                    <xdr:row>7</xdr:row>
                    <xdr:rowOff>142875</xdr:rowOff>
                  </from>
                  <to>
                    <xdr:col>0</xdr:col>
                    <xdr:colOff>800100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Line="0" autoPict="0" macro="[0]!gotoplay">
                <anchor moveWithCells="1" sizeWithCells="1">
                  <from>
                    <xdr:col>0</xdr:col>
                    <xdr:colOff>57150</xdr:colOff>
                    <xdr:row>25</xdr:row>
                    <xdr:rowOff>66675</xdr:rowOff>
                  </from>
                  <to>
                    <xdr:col>0</xdr:col>
                    <xdr:colOff>781050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Line="0" autoPict="0" macro="[0]!perpay">
                <anchor moveWithCells="1" sizeWithCells="1">
                  <from>
                    <xdr:col>0</xdr:col>
                    <xdr:colOff>95250</xdr:colOff>
                    <xdr:row>29</xdr:row>
                    <xdr:rowOff>95250</xdr:rowOff>
                  </from>
                  <to>
                    <xdr:col>0</xdr:col>
                    <xdr:colOff>714375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5" name="Button 14">
              <controlPr defaultSize="0" print="0" autoFill="0" autoLine="0" autoPict="0" macro="[0]!uphand">
                <anchor moveWithCells="1" sizeWithCells="1">
                  <from>
                    <xdr:col>3</xdr:col>
                    <xdr:colOff>180975</xdr:colOff>
                    <xdr:row>56</xdr:row>
                    <xdr:rowOff>9525</xdr:rowOff>
                  </from>
                  <to>
                    <xdr:col>3</xdr:col>
                    <xdr:colOff>390525</xdr:colOff>
                    <xdr:row>58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6" name="Button 15">
              <controlPr defaultSize="0" print="0" autoFill="0" autoLine="0" autoPict="0" macro="[0]!downhand">
                <anchor moveWithCells="1" sizeWithCells="1">
                  <from>
                    <xdr:col>3</xdr:col>
                    <xdr:colOff>180975</xdr:colOff>
                    <xdr:row>58</xdr:row>
                    <xdr:rowOff>76200</xdr:rowOff>
                  </from>
                  <to>
                    <xdr:col>3</xdr:col>
                    <xdr:colOff>381000</xdr:colOff>
                    <xdr:row>60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7" name="Button 16">
              <controlPr defaultSize="0" print="0" autoFill="0" autoLine="0" autoPict="0" macro="[0]!defhand">
                <anchor moveWithCells="1" sizeWithCells="1">
                  <from>
                    <xdr:col>3</xdr:col>
                    <xdr:colOff>66675</xdr:colOff>
                    <xdr:row>46</xdr:row>
                    <xdr:rowOff>38100</xdr:rowOff>
                  </from>
                  <to>
                    <xdr:col>4</xdr:col>
                    <xdr:colOff>342900</xdr:colOff>
                    <xdr:row>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18" name="Button 17">
              <controlPr defaultSize="0" print="0" autoFill="0" autoLine="0" autoPict="0" macro="[0]!gotoplay">
                <anchor moveWithCells="1" sizeWithCells="1">
                  <from>
                    <xdr:col>3</xdr:col>
                    <xdr:colOff>76200</xdr:colOff>
                    <xdr:row>63</xdr:row>
                    <xdr:rowOff>0</xdr:rowOff>
                  </from>
                  <to>
                    <xdr:col>4</xdr:col>
                    <xdr:colOff>276225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19" name="JokerGo">
              <controlPr defaultSize="0" print="0" autoFill="0" autoLine="0" autoPict="0" macro="[0]!jokertable">
                <anchor moveWithCells="1" sizeWithCells="1">
                  <from>
                    <xdr:col>8</xdr:col>
                    <xdr:colOff>66675</xdr:colOff>
                    <xdr:row>19</xdr:row>
                    <xdr:rowOff>228600</xdr:rowOff>
                  </from>
                  <to>
                    <xdr:col>8</xdr:col>
                    <xdr:colOff>590550</xdr:colOff>
                    <xdr:row>19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T123"/>
  <sheetViews>
    <sheetView showGridLines="0" showZeros="0" showOutlineSymbols="0" workbookViewId="0">
      <selection activeCell="W8" sqref="W8"/>
    </sheetView>
  </sheetViews>
  <sheetFormatPr defaultRowHeight="12.75"/>
  <cols>
    <col min="1" max="1" width="3.83203125" style="459" customWidth="1"/>
    <col min="2" max="2" width="3" style="459" customWidth="1"/>
    <col min="3" max="3" width="3.1640625" style="461" customWidth="1"/>
    <col min="4" max="4" width="4.1640625" style="459" bestFit="1" customWidth="1"/>
    <col min="5" max="5" width="6.5" customWidth="1"/>
    <col min="7" max="7" width="1.33203125" style="263" customWidth="1"/>
    <col min="8" max="8" width="13.33203125" style="318" customWidth="1"/>
    <col min="9" max="9" width="1.33203125" customWidth="1"/>
    <col min="10" max="10" width="13.33203125" customWidth="1"/>
    <col min="11" max="11" width="1.33203125" customWidth="1"/>
    <col min="12" max="12" width="13.33203125" customWidth="1"/>
    <col min="13" max="13" width="1.33203125" customWidth="1"/>
    <col min="14" max="14" width="13.33203125" customWidth="1"/>
    <col min="15" max="15" width="1.33203125" customWidth="1"/>
    <col min="16" max="16" width="13.33203125" customWidth="1"/>
    <col min="17" max="17" width="1.33203125" customWidth="1"/>
    <col min="21" max="21" width="9.33203125" style="321"/>
    <col min="22" max="22" width="4.1640625" style="263" bestFit="1" customWidth="1"/>
    <col min="23" max="23" width="10.33203125" customWidth="1"/>
    <col min="24" max="24" width="3.33203125" customWidth="1"/>
    <col min="25" max="27" width="3.5" customWidth="1"/>
    <col min="28" max="28" width="3.33203125" customWidth="1"/>
    <col min="29" max="29" width="1.33203125" customWidth="1"/>
    <col min="30" max="30" width="3.6640625" customWidth="1"/>
    <col min="31" max="31" width="3.83203125" customWidth="1"/>
    <col min="32" max="32" width="3" customWidth="1"/>
    <col min="33" max="33" width="3.1640625" customWidth="1"/>
    <col min="34" max="34" width="3" customWidth="1"/>
    <col min="35" max="35" width="3.5" customWidth="1"/>
    <col min="36" max="36" width="3.33203125" customWidth="1"/>
    <col min="37" max="37" width="3.1640625" style="442" customWidth="1"/>
    <col min="38" max="38" width="3.1640625" customWidth="1"/>
    <col min="39" max="39" width="4" customWidth="1"/>
    <col min="40" max="40" width="3.1640625" customWidth="1"/>
    <col min="41" max="41" width="2.83203125" customWidth="1"/>
  </cols>
  <sheetData>
    <row r="1" spans="1:72">
      <c r="A1" s="459">
        <v>49</v>
      </c>
      <c r="B1" s="459">
        <v>10</v>
      </c>
      <c r="C1" s="461" t="str">
        <f>VLOOKUP(A1,'Deck Data'!$B$1:$D$52,3)</f>
        <v>§</v>
      </c>
      <c r="D1" s="459">
        <v>100</v>
      </c>
      <c r="E1" s="95">
        <f>VLOOKUP(A1,'Deck Data'!$B$1:$D$52,2)</f>
        <v>10</v>
      </c>
      <c r="F1" s="84" t="s">
        <v>93</v>
      </c>
      <c r="G1" s="403"/>
      <c r="H1" s="404"/>
      <c r="I1" s="405"/>
      <c r="J1" s="405"/>
      <c r="K1" s="405"/>
      <c r="L1" s="405"/>
      <c r="M1" s="405"/>
      <c r="N1" s="405"/>
      <c r="O1" s="405"/>
      <c r="P1" s="405"/>
      <c r="Q1" s="405"/>
      <c r="R1" s="405"/>
      <c r="S1" s="405"/>
      <c r="T1" s="405"/>
      <c r="U1" s="403"/>
      <c r="V1" s="263">
        <v>100</v>
      </c>
      <c r="AJ1" s="207">
        <v>1</v>
      </c>
      <c r="AK1" s="440"/>
      <c r="AL1" s="205"/>
      <c r="AM1" s="205"/>
      <c r="AN1" s="205">
        <v>10</v>
      </c>
      <c r="AO1" s="205"/>
    </row>
    <row r="2" spans="1:72">
      <c r="A2" s="459">
        <v>41</v>
      </c>
      <c r="B2" s="459">
        <v>2</v>
      </c>
      <c r="C2" s="461" t="str">
        <f>VLOOKUP(A2,'Deck Data'!$B$1:$D$52,3)</f>
        <v>§</v>
      </c>
      <c r="D2" s="459">
        <v>95</v>
      </c>
      <c r="E2" s="95">
        <f>VLOOKUP(A2,'Deck Data'!$B$1:$D$52,2)</f>
        <v>2</v>
      </c>
      <c r="F2" s="3">
        <v>13</v>
      </c>
      <c r="G2" s="403">
        <v>0</v>
      </c>
      <c r="H2" s="404"/>
      <c r="I2" s="405"/>
      <c r="J2" s="405"/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3">
        <v>0.99540000000000006</v>
      </c>
      <c r="V2" s="263">
        <v>100</v>
      </c>
      <c r="AJ2" s="207">
        <v>2</v>
      </c>
      <c r="AK2" s="440"/>
      <c r="AL2" s="205"/>
      <c r="AM2" s="205"/>
      <c r="AN2" s="205">
        <v>2</v>
      </c>
      <c r="AO2" s="205"/>
    </row>
    <row r="3" spans="1:72">
      <c r="A3" s="459">
        <v>34</v>
      </c>
      <c r="B3" s="459">
        <v>8</v>
      </c>
      <c r="C3" s="461" t="str">
        <f>VLOOKUP(A3,'Deck Data'!$B$1:$D$52,3)</f>
        <v>©</v>
      </c>
      <c r="D3" s="459">
        <v>90</v>
      </c>
      <c r="E3" s="95">
        <f>VLOOKUP(A3,'Deck Data'!$B$1:$D$52,2)</f>
        <v>8</v>
      </c>
      <c r="F3" s="3">
        <v>12</v>
      </c>
      <c r="G3" s="403">
        <v>0</v>
      </c>
      <c r="H3" s="404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5"/>
      <c r="U3" s="403">
        <v>0.99540000000000006</v>
      </c>
      <c r="V3" s="263">
        <v>100</v>
      </c>
      <c r="AJ3" s="207">
        <v>3</v>
      </c>
      <c r="AK3" s="440"/>
      <c r="AL3" s="205"/>
      <c r="AM3" s="205">
        <v>8</v>
      </c>
      <c r="AN3" s="205"/>
      <c r="AO3" s="205"/>
    </row>
    <row r="4" spans="1:72" ht="14.45" customHeight="1">
      <c r="A4" s="459">
        <v>30</v>
      </c>
      <c r="B4" s="459">
        <v>4</v>
      </c>
      <c r="C4" s="461" t="str">
        <f>VLOOKUP(A4,'Deck Data'!$B$1:$D$52,3)</f>
        <v>©</v>
      </c>
      <c r="D4" s="459">
        <v>85</v>
      </c>
      <c r="E4" s="95">
        <f>VLOOKUP(A4,'Deck Data'!$B$1:$D$52,2)</f>
        <v>4</v>
      </c>
      <c r="F4" s="3">
        <v>24</v>
      </c>
      <c r="G4" s="403">
        <v>0</v>
      </c>
      <c r="H4" s="404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5"/>
      <c r="U4" s="403">
        <v>0.99540000000000006</v>
      </c>
      <c r="V4" s="263">
        <v>100</v>
      </c>
      <c r="AJ4" s="207">
        <v>4</v>
      </c>
      <c r="AK4" s="440"/>
      <c r="AL4" s="205"/>
      <c r="AM4" s="205">
        <v>4</v>
      </c>
      <c r="AN4" s="205"/>
      <c r="AO4" s="205"/>
    </row>
    <row r="5" spans="1:72" ht="13.5" thickBot="1">
      <c r="A5" s="460">
        <v>35</v>
      </c>
      <c r="B5" s="460">
        <v>9</v>
      </c>
      <c r="C5" s="462" t="str">
        <f>VLOOKUP(A5,'Deck Data'!$B$1:$D$52,3)</f>
        <v>©</v>
      </c>
      <c r="D5" s="460">
        <v>100</v>
      </c>
      <c r="E5" s="96">
        <f>VLOOKUP(A5,'Deck Data'!$B$1:$D$52,2)</f>
        <v>9</v>
      </c>
      <c r="F5" s="3">
        <v>23</v>
      </c>
      <c r="G5" s="403">
        <v>1</v>
      </c>
      <c r="H5" s="404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3">
        <v>0.99540000000000006</v>
      </c>
      <c r="V5" s="263">
        <v>100</v>
      </c>
      <c r="AJ5" s="207">
        <v>5</v>
      </c>
      <c r="AK5" s="440"/>
      <c r="AL5" s="205"/>
      <c r="AM5" s="205">
        <v>9</v>
      </c>
      <c r="AN5" s="205"/>
      <c r="AO5" s="205"/>
    </row>
    <row r="6" spans="1:72" ht="13.5" thickTop="1">
      <c r="A6" s="459">
        <v>10</v>
      </c>
      <c r="B6" s="459">
        <v>10</v>
      </c>
      <c r="C6" s="461" t="str">
        <f>VLOOKUP(A6,'Deck Data'!$B$1:$D$52,3)</f>
        <v>ª</v>
      </c>
      <c r="D6" s="459">
        <v>95</v>
      </c>
      <c r="E6" s="95">
        <f>VLOOKUP(A6,'Deck Data'!$B$1:$D$52,2)</f>
        <v>10</v>
      </c>
      <c r="F6" s="258">
        <v>27</v>
      </c>
      <c r="G6" s="403">
        <v>0.8</v>
      </c>
      <c r="H6" s="404"/>
      <c r="I6" s="405"/>
      <c r="J6" s="405"/>
      <c r="K6" s="405"/>
      <c r="L6" s="405"/>
      <c r="M6" s="405"/>
      <c r="N6" s="405"/>
      <c r="O6" s="405"/>
      <c r="P6" s="405"/>
      <c r="Q6" s="405"/>
      <c r="R6" s="405"/>
      <c r="S6" s="405"/>
      <c r="T6" s="405"/>
      <c r="U6" s="403">
        <v>0.99540000000000006</v>
      </c>
      <c r="V6" s="263">
        <v>100</v>
      </c>
      <c r="AJ6" s="207">
        <v>6</v>
      </c>
      <c r="AK6" s="440">
        <v>10</v>
      </c>
      <c r="AL6" s="205"/>
      <c r="AM6" s="205"/>
      <c r="AN6" s="205"/>
      <c r="AO6" s="205"/>
    </row>
    <row r="7" spans="1:72">
      <c r="A7" s="459">
        <v>4</v>
      </c>
      <c r="B7" s="459">
        <v>4</v>
      </c>
      <c r="C7" s="461" t="str">
        <f>VLOOKUP(A7,'Deck Data'!$B$1:$D$52,3)</f>
        <v>ª</v>
      </c>
      <c r="D7" s="459">
        <v>90</v>
      </c>
      <c r="E7" s="95">
        <f>VLOOKUP(A7,'Deck Data'!$B$1:$D$52,2)</f>
        <v>4</v>
      </c>
      <c r="F7" s="3">
        <v>13</v>
      </c>
      <c r="G7" s="403">
        <v>0.66659999999999997</v>
      </c>
      <c r="H7" s="404"/>
      <c r="I7" s="405"/>
      <c r="J7" s="405"/>
      <c r="K7" s="405"/>
      <c r="L7" s="405"/>
      <c r="M7" s="405"/>
      <c r="N7" s="405"/>
      <c r="O7" s="405"/>
      <c r="P7" s="405"/>
      <c r="Q7" s="405"/>
      <c r="R7" s="405"/>
      <c r="S7" s="405"/>
      <c r="T7" s="405"/>
      <c r="U7" s="403">
        <v>0.99540000000000006</v>
      </c>
      <c r="V7" s="263">
        <v>100</v>
      </c>
      <c r="AJ7" s="207">
        <v>7</v>
      </c>
      <c r="AK7" s="440">
        <v>4</v>
      </c>
      <c r="AL7" s="205"/>
      <c r="AM7" s="205"/>
      <c r="AN7" s="205"/>
      <c r="AO7" s="205"/>
    </row>
    <row r="8" spans="1:72">
      <c r="A8" s="459">
        <v>32</v>
      </c>
      <c r="B8" s="459">
        <v>6</v>
      </c>
      <c r="C8" s="461" t="str">
        <f>VLOOKUP(A8,'Deck Data'!$B$1:$D$52,3)</f>
        <v>©</v>
      </c>
      <c r="D8" s="459">
        <v>95</v>
      </c>
      <c r="E8" s="95">
        <f>VLOOKUP(A8,'Deck Data'!$B$1:$D$52,2)</f>
        <v>6</v>
      </c>
      <c r="F8" s="3">
        <v>24</v>
      </c>
      <c r="G8" s="403">
        <v>0.85709999999999997</v>
      </c>
      <c r="H8" s="406"/>
      <c r="I8" s="405"/>
      <c r="J8" s="405"/>
      <c r="K8" s="405"/>
      <c r="L8" s="405"/>
      <c r="M8" s="405"/>
      <c r="N8" s="405"/>
      <c r="O8" s="405"/>
      <c r="P8" s="405"/>
      <c r="Q8" s="405"/>
      <c r="R8" s="405"/>
      <c r="S8" s="405"/>
      <c r="T8" s="405"/>
      <c r="U8" s="403">
        <v>0.99540000000000006</v>
      </c>
      <c r="V8" s="263">
        <v>100</v>
      </c>
      <c r="AJ8" s="207">
        <v>8</v>
      </c>
      <c r="AK8" s="440"/>
      <c r="AL8" s="205"/>
      <c r="AM8" s="205">
        <v>6</v>
      </c>
      <c r="AN8" s="205"/>
      <c r="AO8" s="205"/>
    </row>
    <row r="9" spans="1:72">
      <c r="A9" s="459">
        <v>39</v>
      </c>
      <c r="B9" s="459">
        <v>13</v>
      </c>
      <c r="C9" s="461" t="str">
        <f>VLOOKUP(A9,'Deck Data'!$B$1:$D$52,3)</f>
        <v>©</v>
      </c>
      <c r="D9" s="459">
        <v>95</v>
      </c>
      <c r="E9" s="95" t="str">
        <f>VLOOKUP(A9,'Deck Data'!$B$1:$D$52,2)</f>
        <v>K</v>
      </c>
      <c r="F9" s="3">
        <v>27</v>
      </c>
      <c r="G9" s="403">
        <v>0.875</v>
      </c>
      <c r="H9" s="404"/>
      <c r="I9" s="405"/>
      <c r="J9" s="405"/>
      <c r="K9" s="405"/>
      <c r="L9" s="405"/>
      <c r="M9" s="405"/>
      <c r="N9" s="405"/>
      <c r="O9" s="405"/>
      <c r="P9" s="405"/>
      <c r="Q9" s="405"/>
      <c r="R9" s="405"/>
      <c r="S9" s="405"/>
      <c r="T9" s="405"/>
      <c r="U9" s="403">
        <v>0.99540000000000006</v>
      </c>
      <c r="V9" s="263">
        <v>100</v>
      </c>
      <c r="AJ9" s="207">
        <v>9</v>
      </c>
      <c r="AK9" s="440"/>
      <c r="AL9" s="205"/>
      <c r="AM9" s="205">
        <v>13</v>
      </c>
      <c r="AN9" s="205"/>
      <c r="AO9" s="205"/>
    </row>
    <row r="10" spans="1:72">
      <c r="A10" s="459">
        <v>52</v>
      </c>
      <c r="B10" s="459">
        <v>13</v>
      </c>
      <c r="C10" s="461" t="str">
        <f>VLOOKUP(A10,'Deck Data'!$B$1:$D$52,3)</f>
        <v>§</v>
      </c>
      <c r="D10" s="459">
        <v>90</v>
      </c>
      <c r="E10" s="95" t="str">
        <f>VLOOKUP(A10,'Deck Data'!$B$1:$D$52,2)</f>
        <v>K</v>
      </c>
      <c r="F10" s="3">
        <v>3</v>
      </c>
      <c r="G10" s="403">
        <v>0.77769999999999995</v>
      </c>
      <c r="H10" s="404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3">
        <v>0.99540000000000006</v>
      </c>
      <c r="V10" s="263">
        <v>100</v>
      </c>
      <c r="AJ10" s="207">
        <v>10</v>
      </c>
      <c r="AK10" s="440"/>
      <c r="AL10" s="205"/>
      <c r="AM10" s="205"/>
      <c r="AN10" s="205">
        <v>13</v>
      </c>
      <c r="AO10" s="205"/>
    </row>
    <row r="11" spans="1:72">
      <c r="A11" s="459">
        <v>36</v>
      </c>
      <c r="B11" s="459">
        <v>10</v>
      </c>
      <c r="D11" s="459">
        <v>85</v>
      </c>
      <c r="F11" s="3">
        <v>15</v>
      </c>
      <c r="G11" s="403">
        <v>0.7</v>
      </c>
      <c r="H11" s="404"/>
      <c r="I11" s="405"/>
      <c r="J11" s="405"/>
      <c r="K11" s="405"/>
      <c r="L11" s="405"/>
      <c r="M11" s="405"/>
      <c r="N11" s="405"/>
      <c r="O11" s="405"/>
      <c r="P11" s="405"/>
      <c r="Q11" s="405"/>
      <c r="R11" s="405"/>
      <c r="S11" s="405"/>
      <c r="T11" s="405"/>
      <c r="U11" s="403">
        <v>0.99540000000000006</v>
      </c>
      <c r="V11" s="263">
        <v>100</v>
      </c>
      <c r="AJ11" s="207">
        <v>11</v>
      </c>
      <c r="AK11" s="440"/>
      <c r="AL11" s="205"/>
      <c r="AM11" s="205">
        <v>10</v>
      </c>
      <c r="AN11" s="205"/>
      <c r="AO11" s="205"/>
    </row>
    <row r="12" spans="1:72">
      <c r="A12" s="459">
        <v>7</v>
      </c>
      <c r="B12" s="459">
        <v>7</v>
      </c>
      <c r="G12" s="403"/>
      <c r="H12" s="404"/>
      <c r="I12" s="405"/>
      <c r="J12" s="405"/>
      <c r="K12" s="405"/>
      <c r="L12" s="405"/>
      <c r="M12" s="405"/>
      <c r="N12" s="405"/>
      <c r="O12" s="405"/>
      <c r="P12" s="405"/>
      <c r="Q12" s="405"/>
      <c r="R12" s="405"/>
      <c r="S12" s="405"/>
      <c r="T12" s="405"/>
      <c r="U12" s="403"/>
      <c r="AJ12" s="207">
        <v>12</v>
      </c>
      <c r="AK12" s="440">
        <v>7</v>
      </c>
      <c r="AL12" s="205"/>
      <c r="AM12" s="205"/>
      <c r="AN12" s="205"/>
      <c r="AO12" s="205"/>
    </row>
    <row r="13" spans="1:72" ht="15.75" customHeight="1">
      <c r="A13" s="459">
        <v>20</v>
      </c>
      <c r="B13" s="459">
        <v>7</v>
      </c>
      <c r="E13" s="1"/>
      <c r="G13" s="403"/>
      <c r="H13" s="407"/>
      <c r="I13" s="408"/>
      <c r="J13" s="408"/>
      <c r="K13" s="408"/>
      <c r="L13" s="409"/>
      <c r="M13" s="408"/>
      <c r="N13" s="408"/>
      <c r="O13" s="408"/>
      <c r="P13" s="408"/>
      <c r="Q13" s="408"/>
      <c r="R13" s="410"/>
      <c r="S13" s="408"/>
      <c r="T13" s="411"/>
      <c r="U13" s="412"/>
      <c r="W13" s="56"/>
      <c r="X13" s="57"/>
      <c r="Y13" s="56"/>
      <c r="Z13" s="56"/>
      <c r="AA13" s="56"/>
      <c r="AB13" s="56"/>
      <c r="AC13" s="56"/>
      <c r="AD13" s="57"/>
      <c r="AE13" s="56"/>
      <c r="AF13" s="56"/>
      <c r="AG13" s="56"/>
      <c r="AH13" s="56"/>
      <c r="AI13" s="56"/>
      <c r="AJ13" s="207">
        <v>13</v>
      </c>
      <c r="AK13" s="440"/>
      <c r="AL13" s="205">
        <v>7</v>
      </c>
      <c r="AM13" s="205"/>
      <c r="AN13" s="205"/>
      <c r="AO13" s="205"/>
      <c r="AV13" s="25"/>
      <c r="BT13" s="25"/>
    </row>
    <row r="14" spans="1:72" ht="10.5" customHeight="1">
      <c r="A14" s="459">
        <v>18</v>
      </c>
      <c r="B14" s="459">
        <v>5</v>
      </c>
      <c r="G14" s="403"/>
      <c r="H14" s="407"/>
      <c r="I14" s="408"/>
      <c r="J14" s="408"/>
      <c r="K14" s="408"/>
      <c r="L14" s="413"/>
      <c r="M14" s="408"/>
      <c r="N14" s="408"/>
      <c r="O14" s="408"/>
      <c r="P14" s="408"/>
      <c r="Q14" s="408"/>
      <c r="R14" s="414"/>
      <c r="S14" s="408"/>
      <c r="T14" s="408"/>
      <c r="U14" s="412"/>
      <c r="W14" s="56"/>
      <c r="X14" s="58"/>
      <c r="Y14" s="56"/>
      <c r="Z14" s="56"/>
      <c r="AA14" s="56"/>
      <c r="AB14" s="56"/>
      <c r="AC14" s="56"/>
      <c r="AD14" s="58"/>
      <c r="AE14" s="56"/>
      <c r="AF14" s="56"/>
      <c r="AG14" s="56"/>
      <c r="AH14" s="56"/>
      <c r="AI14" s="56"/>
      <c r="AJ14" s="207">
        <v>14</v>
      </c>
      <c r="AK14" s="440"/>
      <c r="AL14" s="205">
        <v>5</v>
      </c>
      <c r="AM14" s="205"/>
      <c r="AN14" s="205"/>
      <c r="AO14" s="205"/>
      <c r="AV14" s="25"/>
      <c r="BT14" s="25"/>
    </row>
    <row r="15" spans="1:72" ht="10.35" customHeight="1">
      <c r="A15" s="459">
        <v>9</v>
      </c>
      <c r="B15" s="459">
        <v>9</v>
      </c>
      <c r="G15" s="403"/>
      <c r="H15" s="407"/>
      <c r="I15" s="408"/>
      <c r="J15" s="408"/>
      <c r="K15" s="408"/>
      <c r="L15" s="408"/>
      <c r="M15" s="408"/>
      <c r="N15" s="408"/>
      <c r="O15" s="408"/>
      <c r="P15" s="408"/>
      <c r="Q15" s="408"/>
      <c r="R15" s="408"/>
      <c r="S15" s="408"/>
      <c r="T15" s="408"/>
      <c r="U15" s="412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207">
        <v>15</v>
      </c>
      <c r="AK15" s="440">
        <v>9</v>
      </c>
      <c r="AL15" s="205"/>
      <c r="AM15" s="205"/>
      <c r="AN15" s="205"/>
      <c r="AO15" s="205"/>
    </row>
    <row r="16" spans="1:72" ht="10.35" customHeight="1">
      <c r="A16" s="459">
        <v>45</v>
      </c>
      <c r="B16" s="459">
        <v>6</v>
      </c>
      <c r="G16" s="403"/>
      <c r="H16" s="407"/>
      <c r="I16" s="408"/>
      <c r="J16" s="408"/>
      <c r="K16" s="408"/>
      <c r="L16" s="408"/>
      <c r="M16" s="408"/>
      <c r="N16" s="408"/>
      <c r="O16" s="408"/>
      <c r="P16" s="408"/>
      <c r="Q16" s="408"/>
      <c r="R16" s="408"/>
      <c r="S16" s="408"/>
      <c r="T16" s="408"/>
      <c r="U16" s="412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207">
        <v>16</v>
      </c>
      <c r="AK16" s="440"/>
      <c r="AL16" s="205"/>
      <c r="AM16" s="205"/>
      <c r="AN16" s="205">
        <v>6</v>
      </c>
      <c r="AO16" s="205"/>
    </row>
    <row r="17" spans="1:68" ht="10.35" customHeight="1">
      <c r="A17" s="459">
        <v>47</v>
      </c>
      <c r="B17" s="459">
        <v>8</v>
      </c>
      <c r="G17" s="403"/>
      <c r="H17" s="407"/>
      <c r="I17" s="408"/>
      <c r="J17" s="408"/>
      <c r="K17" s="408"/>
      <c r="L17" s="408"/>
      <c r="M17" s="408"/>
      <c r="N17" s="408"/>
      <c r="O17" s="408"/>
      <c r="P17" s="408"/>
      <c r="Q17" s="408"/>
      <c r="R17" s="408"/>
      <c r="S17" s="408"/>
      <c r="T17" s="408"/>
      <c r="U17" s="412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207">
        <v>17</v>
      </c>
      <c r="AK17" s="440"/>
      <c r="AL17" s="205"/>
      <c r="AM17" s="205"/>
      <c r="AN17" s="205">
        <v>8</v>
      </c>
      <c r="AO17" s="205"/>
    </row>
    <row r="18" spans="1:68" ht="10.35" customHeight="1">
      <c r="A18" s="459">
        <v>37</v>
      </c>
      <c r="B18" s="459">
        <v>11</v>
      </c>
      <c r="G18" s="403"/>
      <c r="H18" s="407"/>
      <c r="I18" s="408"/>
      <c r="J18" s="408"/>
      <c r="K18" s="408"/>
      <c r="L18" s="408"/>
      <c r="M18" s="408"/>
      <c r="N18" s="408"/>
      <c r="O18" s="408"/>
      <c r="P18" s="408"/>
      <c r="Q18" s="408"/>
      <c r="R18" s="408"/>
      <c r="S18" s="408"/>
      <c r="T18" s="408"/>
      <c r="U18" s="412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207">
        <v>18</v>
      </c>
      <c r="AK18" s="440"/>
      <c r="AL18" s="205"/>
      <c r="AM18" s="205">
        <v>11</v>
      </c>
      <c r="AN18" s="205"/>
      <c r="AO18" s="205"/>
    </row>
    <row r="19" spans="1:68" ht="10.35" customHeight="1">
      <c r="A19" s="459">
        <v>3</v>
      </c>
      <c r="B19" s="459">
        <v>3</v>
      </c>
      <c r="G19" s="403"/>
      <c r="H19" s="407"/>
      <c r="I19" s="408"/>
      <c r="J19" s="408"/>
      <c r="K19" s="408"/>
      <c r="L19" s="408"/>
      <c r="M19" s="408"/>
      <c r="N19" s="408"/>
      <c r="O19" s="408"/>
      <c r="P19" s="408"/>
      <c r="Q19" s="408"/>
      <c r="R19" s="408"/>
      <c r="S19" s="408"/>
      <c r="T19" s="408"/>
      <c r="U19" s="412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207">
        <v>19</v>
      </c>
      <c r="AK19" s="440">
        <v>3</v>
      </c>
      <c r="AL19" s="205"/>
      <c r="AM19" s="205"/>
      <c r="AN19" s="205"/>
      <c r="AO19" s="205"/>
    </row>
    <row r="20" spans="1:68" ht="15" customHeight="1">
      <c r="A20" s="459">
        <v>50</v>
      </c>
      <c r="B20" s="459">
        <v>11</v>
      </c>
      <c r="G20" s="403"/>
      <c r="H20" s="415"/>
      <c r="I20" s="416"/>
      <c r="J20" s="416"/>
      <c r="K20" s="416"/>
      <c r="L20" s="416"/>
      <c r="M20" s="408"/>
      <c r="N20" s="414"/>
      <c r="O20" s="408"/>
      <c r="P20" s="408"/>
      <c r="Q20" s="408"/>
      <c r="R20" s="408"/>
      <c r="S20" s="408"/>
      <c r="T20" s="414"/>
      <c r="U20" s="412"/>
      <c r="W20" s="56"/>
      <c r="X20" s="56"/>
      <c r="Y20" s="56"/>
      <c r="Z20" s="58"/>
      <c r="AA20" s="56"/>
      <c r="AB20" s="56"/>
      <c r="AC20" s="56"/>
      <c r="AD20" s="56"/>
      <c r="AE20" s="56"/>
      <c r="AF20" s="58"/>
      <c r="AG20" s="56"/>
      <c r="AH20" s="56"/>
      <c r="AI20" s="56"/>
      <c r="AJ20" s="207">
        <v>20</v>
      </c>
      <c r="AK20" s="440"/>
      <c r="AL20" s="205"/>
      <c r="AM20" s="205"/>
      <c r="AN20" s="205">
        <v>11</v>
      </c>
      <c r="AO20" s="205"/>
      <c r="AR20" s="25"/>
      <c r="BP20" s="25"/>
    </row>
    <row r="21" spans="1:68" ht="10.35" customHeight="1">
      <c r="A21" s="459">
        <v>46</v>
      </c>
      <c r="B21" s="459">
        <v>7</v>
      </c>
      <c r="G21" s="403"/>
      <c r="H21" s="407"/>
      <c r="I21" s="408"/>
      <c r="J21" s="408"/>
      <c r="K21" s="408"/>
      <c r="L21" s="408"/>
      <c r="M21" s="408"/>
      <c r="N21" s="408"/>
      <c r="O21" s="408"/>
      <c r="P21" s="408"/>
      <c r="Q21" s="408"/>
      <c r="R21" s="405"/>
      <c r="S21" s="405"/>
      <c r="T21" s="405"/>
      <c r="U21" s="403"/>
      <c r="W21" s="56"/>
      <c r="X21" s="56"/>
      <c r="Y21" s="56"/>
      <c r="Z21" s="56"/>
      <c r="AA21" s="56"/>
      <c r="AB21" s="56"/>
      <c r="AC21" s="56"/>
      <c r="AJ21" s="207">
        <v>21</v>
      </c>
      <c r="AK21" s="440"/>
      <c r="AL21" s="205"/>
      <c r="AM21" s="205"/>
      <c r="AN21" s="205">
        <v>7</v>
      </c>
      <c r="AO21" s="205"/>
    </row>
    <row r="22" spans="1:68" ht="30" customHeight="1">
      <c r="A22" s="459">
        <v>23</v>
      </c>
      <c r="B22" s="459">
        <v>10</v>
      </c>
      <c r="G22" s="403"/>
      <c r="H22" s="407"/>
      <c r="I22" s="408"/>
      <c r="J22" s="408"/>
      <c r="K22" s="408"/>
      <c r="L22" s="408"/>
      <c r="M22" s="408"/>
      <c r="N22" s="408"/>
      <c r="O22" s="408"/>
      <c r="P22" s="408"/>
      <c r="Q22" s="408"/>
      <c r="R22" s="405"/>
      <c r="S22" s="405"/>
      <c r="T22" s="405"/>
      <c r="U22" s="403"/>
      <c r="W22" s="56"/>
      <c r="X22" s="56"/>
      <c r="Y22" s="56"/>
      <c r="Z22" s="56"/>
      <c r="AA22" s="56"/>
      <c r="AB22" s="56"/>
      <c r="AC22" s="56"/>
      <c r="AJ22" s="207">
        <v>22</v>
      </c>
      <c r="AK22" s="440"/>
      <c r="AL22" s="205">
        <v>10</v>
      </c>
      <c r="AM22" s="205"/>
      <c r="AN22" s="205"/>
      <c r="AO22" s="205"/>
    </row>
    <row r="23" spans="1:68" ht="10.35" customHeight="1">
      <c r="A23" s="459">
        <v>12</v>
      </c>
      <c r="B23" s="459">
        <v>12</v>
      </c>
      <c r="G23" s="403"/>
      <c r="H23" s="417"/>
      <c r="I23" s="409"/>
      <c r="J23" s="408"/>
      <c r="K23" s="408"/>
      <c r="L23" s="408"/>
      <c r="M23" s="408"/>
      <c r="N23" s="408"/>
      <c r="O23" s="408"/>
      <c r="P23" s="408"/>
      <c r="Q23" s="408"/>
      <c r="R23" s="405"/>
      <c r="S23" s="405"/>
      <c r="T23" s="405"/>
      <c r="U23" s="403"/>
      <c r="W23" s="56"/>
      <c r="X23" s="58"/>
      <c r="Y23" s="56"/>
      <c r="Z23" s="56"/>
      <c r="AA23" s="56"/>
      <c r="AB23" s="56"/>
      <c r="AC23" s="56"/>
      <c r="AJ23" s="207">
        <v>23</v>
      </c>
      <c r="AK23" s="440">
        <v>12</v>
      </c>
      <c r="AL23" s="205"/>
      <c r="AM23" s="205"/>
      <c r="AN23" s="205"/>
      <c r="AO23" s="205"/>
    </row>
    <row r="24" spans="1:68" ht="16.5" customHeight="1">
      <c r="A24" s="459">
        <v>17</v>
      </c>
      <c r="B24" s="459">
        <v>4</v>
      </c>
      <c r="E24" s="405"/>
      <c r="F24" s="405"/>
      <c r="G24" s="403"/>
      <c r="H24" s="415"/>
      <c r="I24" s="416"/>
      <c r="J24" s="416"/>
      <c r="K24" s="416"/>
      <c r="L24" s="416"/>
      <c r="M24" s="416"/>
      <c r="N24" s="416"/>
      <c r="O24" s="416"/>
      <c r="P24" s="416"/>
      <c r="Q24" s="408"/>
      <c r="R24" s="405"/>
      <c r="S24" s="405"/>
      <c r="T24" s="405"/>
      <c r="U24" s="403"/>
      <c r="W24" s="56"/>
      <c r="X24" s="58"/>
      <c r="Y24" s="56"/>
      <c r="Z24" s="56"/>
      <c r="AA24" s="56"/>
      <c r="AB24" s="56"/>
      <c r="AC24" s="56"/>
      <c r="AJ24" s="207">
        <v>24</v>
      </c>
      <c r="AK24" s="440"/>
      <c r="AL24" s="205">
        <v>4</v>
      </c>
      <c r="AM24" s="205"/>
      <c r="AN24" s="205"/>
      <c r="AO24" s="205"/>
    </row>
    <row r="25" spans="1:68" ht="18" customHeight="1" thickBot="1">
      <c r="A25" s="459">
        <v>13</v>
      </c>
      <c r="B25" s="459">
        <v>13</v>
      </c>
      <c r="E25" s="405"/>
      <c r="F25" s="405"/>
      <c r="G25" s="403"/>
      <c r="H25" s="415"/>
      <c r="I25" s="416"/>
      <c r="J25" s="418"/>
      <c r="K25" s="418"/>
      <c r="L25" s="418"/>
      <c r="M25" s="418"/>
      <c r="N25" s="418"/>
      <c r="O25" s="418"/>
      <c r="P25" s="418"/>
      <c r="Q25" s="405"/>
      <c r="R25" s="405"/>
      <c r="S25" s="405"/>
      <c r="T25" s="405"/>
      <c r="U25" s="403"/>
      <c r="W25" s="56"/>
      <c r="X25" s="57"/>
      <c r="Y25" s="56"/>
      <c r="Z25" s="56"/>
      <c r="AA25" s="56"/>
      <c r="AB25" s="56"/>
      <c r="AC25" s="56"/>
      <c r="AJ25" s="207">
        <v>25</v>
      </c>
      <c r="AK25" s="440">
        <v>13</v>
      </c>
      <c r="AL25" s="205"/>
      <c r="AM25" s="205"/>
      <c r="AN25" s="205"/>
      <c r="AO25" s="205"/>
    </row>
    <row r="26" spans="1:68" ht="19.5" customHeight="1">
      <c r="A26" s="459">
        <v>6</v>
      </c>
      <c r="B26" s="459">
        <v>6</v>
      </c>
      <c r="E26" s="405"/>
      <c r="F26" s="426"/>
      <c r="G26" s="403"/>
      <c r="H26" s="431">
        <v>10</v>
      </c>
      <c r="I26" s="419"/>
      <c r="J26" s="433">
        <v>2</v>
      </c>
      <c r="K26" s="419"/>
      <c r="L26" s="433">
        <v>8</v>
      </c>
      <c r="M26" s="419"/>
      <c r="N26" s="433">
        <v>4</v>
      </c>
      <c r="O26" s="419"/>
      <c r="P26" s="433">
        <v>9</v>
      </c>
      <c r="Q26" s="405"/>
      <c r="R26" s="405"/>
      <c r="S26" s="405"/>
      <c r="T26" s="405"/>
      <c r="U26" s="403"/>
      <c r="AJ26" s="207">
        <v>26</v>
      </c>
      <c r="AK26" s="440">
        <v>6</v>
      </c>
      <c r="AL26" s="205"/>
      <c r="AM26" s="205"/>
      <c r="AN26" s="205"/>
      <c r="AO26" s="205"/>
    </row>
    <row r="27" spans="1:68" ht="63" customHeight="1" thickBot="1">
      <c r="A27" s="459">
        <v>28</v>
      </c>
      <c r="B27" s="459">
        <v>2</v>
      </c>
      <c r="E27" s="405"/>
      <c r="F27" s="427" t="s">
        <v>66</v>
      </c>
      <c r="G27" s="403"/>
      <c r="H27" s="439" t="s">
        <v>96</v>
      </c>
      <c r="I27" s="420"/>
      <c r="J27" s="434" t="s">
        <v>96</v>
      </c>
      <c r="K27" s="421"/>
      <c r="L27" s="435" t="s">
        <v>31</v>
      </c>
      <c r="M27" s="420"/>
      <c r="N27" s="435" t="s">
        <v>31</v>
      </c>
      <c r="O27" s="420"/>
      <c r="P27" s="435" t="s">
        <v>31</v>
      </c>
      <c r="Q27" s="405"/>
      <c r="R27" s="405"/>
      <c r="S27" s="405"/>
      <c r="T27" s="405"/>
      <c r="U27" s="403"/>
      <c r="AJ27" s="207">
        <v>27</v>
      </c>
      <c r="AK27" s="440"/>
      <c r="AL27" s="205"/>
      <c r="AM27" s="205">
        <v>2</v>
      </c>
      <c r="AN27" s="205"/>
      <c r="AO27" s="205"/>
    </row>
    <row r="28" spans="1:68" ht="10.5" customHeight="1" thickBot="1">
      <c r="A28" s="459">
        <v>38</v>
      </c>
      <c r="B28" s="459">
        <v>12</v>
      </c>
      <c r="E28" s="405"/>
      <c r="F28" s="428"/>
      <c r="G28" s="403"/>
      <c r="H28" s="422"/>
      <c r="I28" s="423"/>
      <c r="J28" s="424"/>
      <c r="K28" s="423"/>
      <c r="L28" s="425"/>
      <c r="M28" s="408"/>
      <c r="N28" s="405"/>
      <c r="O28" s="408"/>
      <c r="P28" s="405"/>
      <c r="Q28" s="405"/>
      <c r="R28" s="405"/>
      <c r="S28" s="405"/>
      <c r="T28" s="405"/>
      <c r="U28" s="403"/>
      <c r="AJ28" s="207">
        <v>28</v>
      </c>
      <c r="AK28" s="440"/>
      <c r="AL28" s="205"/>
      <c r="AM28" s="205">
        <v>12</v>
      </c>
      <c r="AN28" s="205"/>
      <c r="AO28" s="205"/>
    </row>
    <row r="29" spans="1:68" ht="20.25">
      <c r="A29" s="459">
        <v>33</v>
      </c>
      <c r="B29" s="459">
        <v>7</v>
      </c>
      <c r="E29" s="405"/>
      <c r="F29" s="429"/>
      <c r="G29" s="403"/>
      <c r="H29" s="432">
        <v>10</v>
      </c>
      <c r="I29" s="419"/>
      <c r="J29" s="433">
        <v>4</v>
      </c>
      <c r="K29" s="419"/>
      <c r="L29" s="433">
        <v>6</v>
      </c>
      <c r="M29" s="419"/>
      <c r="N29" s="433" t="s">
        <v>97</v>
      </c>
      <c r="O29" s="419"/>
      <c r="P29" s="433" t="s">
        <v>97</v>
      </c>
      <c r="Q29" s="405"/>
      <c r="R29" s="405"/>
      <c r="S29" s="405"/>
      <c r="T29" s="405"/>
      <c r="U29" s="403"/>
      <c r="AJ29" s="207">
        <v>29</v>
      </c>
      <c r="AK29" s="440"/>
      <c r="AL29" s="205"/>
      <c r="AM29" s="205">
        <v>7</v>
      </c>
      <c r="AN29" s="205"/>
      <c r="AO29" s="205"/>
    </row>
    <row r="30" spans="1:68" ht="63" customHeight="1" thickBot="1">
      <c r="A30" s="459">
        <v>24</v>
      </c>
      <c r="B30" s="459">
        <v>11</v>
      </c>
      <c r="E30" s="405"/>
      <c r="F30" s="430" t="s">
        <v>98</v>
      </c>
      <c r="G30" s="403"/>
      <c r="H30" s="439" t="s">
        <v>29</v>
      </c>
      <c r="I30" s="420"/>
      <c r="J30" s="434" t="s">
        <v>29</v>
      </c>
      <c r="K30" s="420"/>
      <c r="L30" s="435" t="s">
        <v>31</v>
      </c>
      <c r="M30" s="420"/>
      <c r="N30" s="435" t="s">
        <v>31</v>
      </c>
      <c r="O30" s="420"/>
      <c r="P30" s="434" t="s">
        <v>96</v>
      </c>
      <c r="Q30" s="405"/>
      <c r="R30" s="405"/>
      <c r="S30" s="405"/>
      <c r="T30" s="405"/>
      <c r="U30" s="403"/>
      <c r="AJ30" s="207">
        <v>30</v>
      </c>
      <c r="AK30" s="440"/>
      <c r="AL30" s="205">
        <v>11</v>
      </c>
      <c r="AM30" s="205"/>
      <c r="AN30" s="205"/>
      <c r="AO30" s="205"/>
    </row>
    <row r="31" spans="1:68">
      <c r="A31" s="459">
        <v>2</v>
      </c>
      <c r="B31" s="459">
        <v>2</v>
      </c>
      <c r="E31" s="405"/>
      <c r="F31" s="405"/>
      <c r="G31" s="403"/>
      <c r="H31" s="404"/>
      <c r="I31" s="408"/>
      <c r="J31" s="405"/>
      <c r="K31" s="408"/>
      <c r="L31" s="405"/>
      <c r="M31" s="408"/>
      <c r="N31" s="405"/>
      <c r="O31" s="408"/>
      <c r="P31" s="405"/>
      <c r="Q31" s="405"/>
      <c r="R31" s="405"/>
      <c r="S31" s="405"/>
      <c r="T31" s="405"/>
      <c r="U31" s="403"/>
      <c r="AJ31" s="207">
        <v>31</v>
      </c>
      <c r="AK31" s="440">
        <v>2</v>
      </c>
      <c r="AL31" s="205"/>
      <c r="AM31" s="205"/>
      <c r="AN31" s="205"/>
      <c r="AO31" s="205"/>
    </row>
    <row r="32" spans="1:68">
      <c r="A32" s="459">
        <v>22</v>
      </c>
      <c r="B32" s="459">
        <v>9</v>
      </c>
      <c r="E32" s="405"/>
      <c r="F32" s="405"/>
      <c r="G32" s="403"/>
      <c r="H32" s="404"/>
      <c r="I32" s="405"/>
      <c r="J32" s="405"/>
      <c r="K32" s="408"/>
      <c r="L32" s="405"/>
      <c r="M32" s="408"/>
      <c r="N32" s="405"/>
      <c r="O32" s="405"/>
      <c r="P32" s="405"/>
      <c r="Q32" s="405"/>
      <c r="R32" s="405"/>
      <c r="S32" s="405"/>
      <c r="T32" s="405"/>
      <c r="U32" s="403"/>
      <c r="AJ32" s="207">
        <v>32</v>
      </c>
      <c r="AK32" s="440"/>
      <c r="AL32" s="205">
        <v>9</v>
      </c>
      <c r="AM32" s="205"/>
      <c r="AN32" s="205"/>
      <c r="AO32" s="205"/>
    </row>
    <row r="33" spans="1:41" ht="16.5" customHeight="1">
      <c r="A33" s="459">
        <v>21</v>
      </c>
      <c r="B33" s="459">
        <v>8</v>
      </c>
      <c r="E33" s="405"/>
      <c r="F33" s="405"/>
      <c r="G33" s="403"/>
      <c r="H33" s="404"/>
      <c r="I33" s="405"/>
      <c r="J33" s="405"/>
      <c r="K33" s="405"/>
      <c r="L33" s="405"/>
      <c r="M33" s="405"/>
      <c r="N33" s="405"/>
      <c r="O33" s="405"/>
      <c r="P33" s="405"/>
      <c r="Q33" s="405"/>
      <c r="R33" s="405"/>
      <c r="S33" s="405"/>
      <c r="T33" s="405"/>
      <c r="U33" s="403"/>
      <c r="AJ33" s="207">
        <v>33</v>
      </c>
      <c r="AK33" s="440"/>
      <c r="AL33" s="205">
        <v>8</v>
      </c>
      <c r="AM33" s="205"/>
      <c r="AN33" s="205"/>
      <c r="AO33" s="205"/>
    </row>
    <row r="34" spans="1:41">
      <c r="A34" s="459">
        <v>42</v>
      </c>
      <c r="B34" s="459">
        <v>3</v>
      </c>
      <c r="E34" s="405"/>
      <c r="F34" s="405"/>
      <c r="G34" s="403"/>
      <c r="H34" s="404"/>
      <c r="I34" s="405"/>
      <c r="J34" s="405"/>
      <c r="K34" s="405"/>
      <c r="L34" s="405"/>
      <c r="M34" s="405"/>
      <c r="N34" s="405"/>
      <c r="O34" s="405"/>
      <c r="P34" s="405"/>
      <c r="Q34" s="405"/>
      <c r="R34" s="405"/>
      <c r="S34" s="405"/>
      <c r="T34" s="405"/>
      <c r="U34" s="403"/>
      <c r="AJ34" s="207">
        <v>34</v>
      </c>
      <c r="AK34" s="440"/>
      <c r="AL34" s="205"/>
      <c r="AM34" s="205"/>
      <c r="AN34" s="205">
        <v>3</v>
      </c>
      <c r="AO34" s="205"/>
    </row>
    <row r="35" spans="1:41">
      <c r="A35" s="459">
        <v>48</v>
      </c>
      <c r="B35" s="459">
        <v>9</v>
      </c>
      <c r="E35" s="405"/>
      <c r="F35" s="405"/>
      <c r="G35" s="403"/>
      <c r="H35" s="404"/>
      <c r="I35" s="405"/>
      <c r="J35" s="405"/>
      <c r="K35" s="405"/>
      <c r="L35" s="405"/>
      <c r="M35" s="405"/>
      <c r="N35" s="405"/>
      <c r="O35" s="405"/>
      <c r="P35" s="405"/>
      <c r="Q35" s="405"/>
      <c r="R35" s="405"/>
      <c r="S35" s="405"/>
      <c r="T35" s="405"/>
      <c r="U35" s="403"/>
      <c r="AJ35" s="207">
        <v>35</v>
      </c>
      <c r="AK35" s="440"/>
      <c r="AL35" s="205"/>
      <c r="AM35" s="205"/>
      <c r="AN35" s="205">
        <v>9</v>
      </c>
      <c r="AO35" s="205"/>
    </row>
    <row r="36" spans="1:41">
      <c r="A36" s="459">
        <v>25</v>
      </c>
      <c r="B36" s="459">
        <v>12</v>
      </c>
      <c r="E36" s="405"/>
      <c r="F36" s="405"/>
      <c r="G36" s="403"/>
      <c r="H36" s="404"/>
      <c r="I36" s="405"/>
      <c r="J36" s="405"/>
      <c r="K36" s="405"/>
      <c r="L36" s="405"/>
      <c r="M36" s="405"/>
      <c r="N36" s="405"/>
      <c r="O36" s="405"/>
      <c r="P36" s="405"/>
      <c r="Q36" s="405"/>
      <c r="R36" s="405"/>
      <c r="S36" s="405"/>
      <c r="T36" s="405"/>
      <c r="U36" s="403"/>
      <c r="AJ36" s="207">
        <v>36</v>
      </c>
      <c r="AK36" s="440"/>
      <c r="AL36" s="205">
        <v>12</v>
      </c>
      <c r="AM36" s="205"/>
      <c r="AN36" s="205"/>
      <c r="AO36" s="205"/>
    </row>
    <row r="37" spans="1:41">
      <c r="A37" s="459">
        <v>16</v>
      </c>
      <c r="B37" s="459">
        <v>3</v>
      </c>
      <c r="E37" s="27"/>
      <c r="F37" s="27"/>
      <c r="G37" s="322"/>
      <c r="H37" s="31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320"/>
      <c r="AJ37" s="207">
        <v>37</v>
      </c>
      <c r="AK37" s="440"/>
      <c r="AL37" s="205">
        <v>3</v>
      </c>
      <c r="AM37" s="205"/>
      <c r="AN37" s="205"/>
      <c r="AO37" s="205"/>
    </row>
    <row r="38" spans="1:41">
      <c r="A38" s="459">
        <v>29</v>
      </c>
      <c r="B38" s="459">
        <v>3</v>
      </c>
      <c r="E38" s="27"/>
      <c r="F38" s="27"/>
      <c r="G38" s="322"/>
      <c r="H38" s="31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320"/>
      <c r="AJ38" s="207">
        <v>38</v>
      </c>
      <c r="AK38" s="440"/>
      <c r="AL38" s="205"/>
      <c r="AM38" s="205">
        <v>3</v>
      </c>
      <c r="AN38" s="205"/>
      <c r="AO38" s="205"/>
    </row>
    <row r="39" spans="1:41">
      <c r="A39" s="459">
        <v>5</v>
      </c>
      <c r="B39" s="459">
        <v>5</v>
      </c>
      <c r="G39" s="322"/>
      <c r="AJ39" s="207">
        <v>39</v>
      </c>
      <c r="AK39" s="440">
        <v>5</v>
      </c>
      <c r="AL39" s="205"/>
      <c r="AM39" s="205"/>
      <c r="AN39" s="205"/>
      <c r="AO39" s="205"/>
    </row>
    <row r="40" spans="1:41">
      <c r="A40" s="459">
        <v>43</v>
      </c>
      <c r="B40" s="459">
        <v>4</v>
      </c>
      <c r="G40" s="322"/>
      <c r="AJ40" s="207">
        <v>40</v>
      </c>
      <c r="AK40" s="440"/>
      <c r="AL40" s="205"/>
      <c r="AM40" s="205"/>
      <c r="AN40" s="205">
        <v>4</v>
      </c>
      <c r="AO40" s="205"/>
    </row>
    <row r="41" spans="1:41">
      <c r="A41" s="459">
        <v>27</v>
      </c>
      <c r="B41" s="459">
        <v>1</v>
      </c>
      <c r="G41" s="322"/>
      <c r="AJ41" s="207">
        <v>41</v>
      </c>
      <c r="AK41" s="440"/>
      <c r="AL41" s="205"/>
      <c r="AM41" s="205">
        <v>1</v>
      </c>
      <c r="AN41" s="205"/>
      <c r="AO41" s="205"/>
    </row>
    <row r="42" spans="1:41">
      <c r="A42" s="459">
        <v>15</v>
      </c>
      <c r="B42" s="459">
        <v>2</v>
      </c>
      <c r="E42" s="1"/>
      <c r="G42" s="322"/>
      <c r="AJ42" s="207">
        <v>42</v>
      </c>
      <c r="AK42" s="440"/>
      <c r="AL42" s="205">
        <v>2</v>
      </c>
      <c r="AM42" s="205"/>
      <c r="AN42" s="205"/>
      <c r="AO42" s="205"/>
    </row>
    <row r="43" spans="1:41">
      <c r="A43" s="459">
        <v>19</v>
      </c>
      <c r="B43" s="459">
        <v>6</v>
      </c>
      <c r="E43" s="1"/>
      <c r="F43" s="2"/>
      <c r="G43" s="322"/>
      <c r="AJ43" s="207">
        <v>43</v>
      </c>
      <c r="AK43" s="440"/>
      <c r="AL43" s="205">
        <v>6</v>
      </c>
      <c r="AM43" s="205"/>
      <c r="AN43" s="205"/>
      <c r="AO43" s="205"/>
    </row>
    <row r="44" spans="1:41" ht="13.5" thickBot="1">
      <c r="A44" s="459">
        <v>26</v>
      </c>
      <c r="B44" s="459">
        <v>13</v>
      </c>
      <c r="F44" s="1"/>
      <c r="G44" s="322"/>
      <c r="L44" s="131"/>
      <c r="AJ44" s="207">
        <v>44</v>
      </c>
      <c r="AK44" s="440"/>
      <c r="AL44" s="205">
        <v>13</v>
      </c>
      <c r="AM44" s="205"/>
      <c r="AN44" s="205"/>
      <c r="AO44" s="205"/>
    </row>
    <row r="45" spans="1:41" ht="13.5" thickTop="1">
      <c r="A45" s="459">
        <v>1</v>
      </c>
      <c r="B45" s="459">
        <v>1</v>
      </c>
      <c r="F45" s="2"/>
      <c r="G45" s="322"/>
      <c r="H45" s="319"/>
      <c r="L45" s="131"/>
      <c r="N45" s="201"/>
      <c r="O45" s="202"/>
      <c r="P45" s="203" t="s">
        <v>99</v>
      </c>
      <c r="Q45" s="202"/>
      <c r="R45" s="202"/>
      <c r="S45" s="204"/>
      <c r="AJ45" s="207">
        <v>45</v>
      </c>
      <c r="AK45" s="440">
        <v>1</v>
      </c>
      <c r="AL45" s="205"/>
      <c r="AM45" s="205"/>
      <c r="AN45" s="205"/>
      <c r="AO45" s="205"/>
    </row>
    <row r="46" spans="1:41">
      <c r="A46" s="459">
        <v>31</v>
      </c>
      <c r="B46" s="459">
        <v>5</v>
      </c>
      <c r="F46" s="111"/>
      <c r="G46" s="322"/>
      <c r="H46" s="319"/>
      <c r="L46" s="112"/>
      <c r="N46" s="190">
        <v>14</v>
      </c>
      <c r="O46" s="140"/>
      <c r="P46" s="140">
        <v>16</v>
      </c>
      <c r="Q46" s="140"/>
      <c r="R46" s="140">
        <v>18</v>
      </c>
      <c r="S46" s="191">
        <v>19</v>
      </c>
      <c r="AJ46" s="207">
        <v>46</v>
      </c>
      <c r="AK46" s="440"/>
      <c r="AL46" s="205"/>
      <c r="AM46" s="205">
        <v>5</v>
      </c>
      <c r="AN46" s="205"/>
      <c r="AO46" s="205"/>
    </row>
    <row r="47" spans="1:41">
      <c r="A47" s="459">
        <v>8</v>
      </c>
      <c r="B47" s="459">
        <v>8</v>
      </c>
      <c r="G47" s="322"/>
      <c r="H47" s="319"/>
      <c r="L47" s="112"/>
      <c r="N47" s="198" t="s">
        <v>100</v>
      </c>
      <c r="O47" s="199"/>
      <c r="P47" s="199" t="s">
        <v>101</v>
      </c>
      <c r="Q47" s="199"/>
      <c r="R47" s="199" t="s">
        <v>102</v>
      </c>
      <c r="S47" s="200" t="s">
        <v>103</v>
      </c>
      <c r="AJ47" s="207">
        <v>47</v>
      </c>
      <c r="AK47" s="440">
        <v>8</v>
      </c>
      <c r="AL47" s="205"/>
      <c r="AM47" s="205"/>
      <c r="AN47" s="205"/>
      <c r="AO47" s="205"/>
    </row>
    <row r="48" spans="1:41">
      <c r="A48" s="459">
        <v>11</v>
      </c>
      <c r="B48" s="459">
        <v>11</v>
      </c>
      <c r="G48" s="322"/>
      <c r="H48" s="319"/>
      <c r="L48" s="112"/>
      <c r="N48" s="192">
        <v>168</v>
      </c>
      <c r="O48" s="193">
        <v>1</v>
      </c>
      <c r="P48" s="194">
        <v>8</v>
      </c>
      <c r="Q48" s="193">
        <v>1</v>
      </c>
      <c r="R48" s="194">
        <v>2</v>
      </c>
      <c r="S48" s="193">
        <v>4</v>
      </c>
      <c r="AJ48" s="207">
        <v>48</v>
      </c>
      <c r="AK48" s="440">
        <v>11</v>
      </c>
      <c r="AL48" s="205"/>
      <c r="AM48" s="205"/>
      <c r="AN48" s="205"/>
      <c r="AO48" s="205"/>
    </row>
    <row r="49" spans="1:41">
      <c r="A49" s="459">
        <v>44</v>
      </c>
      <c r="B49" s="459">
        <v>5</v>
      </c>
      <c r="G49" s="322"/>
      <c r="H49" s="319"/>
      <c r="J49" s="137"/>
      <c r="L49" s="112"/>
      <c r="N49" s="192">
        <v>167</v>
      </c>
      <c r="O49" s="193">
        <v>2</v>
      </c>
      <c r="P49" s="194">
        <v>13</v>
      </c>
      <c r="Q49" s="193">
        <v>2</v>
      </c>
      <c r="R49" s="194">
        <v>3</v>
      </c>
      <c r="S49" s="193">
        <v>3</v>
      </c>
      <c r="AJ49" s="207">
        <v>49</v>
      </c>
      <c r="AK49" s="440"/>
      <c r="AL49" s="205"/>
      <c r="AM49" s="205"/>
      <c r="AN49" s="205">
        <v>5</v>
      </c>
      <c r="AO49" s="205"/>
    </row>
    <row r="50" spans="1:41">
      <c r="A50" s="459">
        <v>51</v>
      </c>
      <c r="B50" s="459">
        <v>12</v>
      </c>
      <c r="G50" s="322"/>
      <c r="L50" s="112"/>
      <c r="N50" s="192">
        <v>168</v>
      </c>
      <c r="O50" s="193">
        <v>3</v>
      </c>
      <c r="P50" s="194">
        <v>3</v>
      </c>
      <c r="Q50" s="193">
        <v>3</v>
      </c>
      <c r="R50" s="194">
        <v>3</v>
      </c>
      <c r="S50" s="193">
        <v>5</v>
      </c>
      <c r="AJ50" s="207">
        <v>50</v>
      </c>
      <c r="AK50" s="440"/>
      <c r="AL50" s="205"/>
      <c r="AM50" s="205"/>
      <c r="AN50" s="205">
        <v>12</v>
      </c>
      <c r="AO50" s="205"/>
    </row>
    <row r="51" spans="1:41">
      <c r="A51" s="459">
        <v>40</v>
      </c>
      <c r="B51" s="459">
        <v>1</v>
      </c>
      <c r="G51" s="322"/>
      <c r="L51" s="112"/>
      <c r="N51" s="192">
        <v>170</v>
      </c>
      <c r="O51" s="193">
        <v>4</v>
      </c>
      <c r="P51" s="194">
        <v>2</v>
      </c>
      <c r="Q51" s="193">
        <v>4</v>
      </c>
      <c r="R51" s="194">
        <v>8</v>
      </c>
      <c r="S51" s="193">
        <v>1</v>
      </c>
      <c r="AJ51" s="207">
        <v>51</v>
      </c>
      <c r="AK51" s="440"/>
      <c r="AL51" s="205"/>
      <c r="AM51" s="205"/>
      <c r="AN51" s="205">
        <v>1</v>
      </c>
      <c r="AO51" s="205"/>
    </row>
    <row r="52" spans="1:41" ht="13.5" thickBot="1">
      <c r="A52" s="459">
        <v>14</v>
      </c>
      <c r="B52" s="459">
        <v>1</v>
      </c>
      <c r="G52" s="322"/>
      <c r="L52" s="132"/>
      <c r="N52" s="195">
        <v>170</v>
      </c>
      <c r="O52" s="196">
        <v>5</v>
      </c>
      <c r="P52" s="197">
        <v>3</v>
      </c>
      <c r="Q52" s="196">
        <v>5</v>
      </c>
      <c r="R52" s="197">
        <v>13</v>
      </c>
      <c r="S52" s="196">
        <v>2</v>
      </c>
      <c r="AJ52" s="207">
        <v>52</v>
      </c>
      <c r="AK52" s="440"/>
      <c r="AL52" s="205">
        <v>1</v>
      </c>
      <c r="AM52" s="205"/>
      <c r="AN52" s="205"/>
      <c r="AO52" s="205"/>
    </row>
    <row r="53" spans="1:41" ht="13.5" thickTop="1">
      <c r="A53" s="459">
        <v>43</v>
      </c>
      <c r="B53" s="459">
        <v>4</v>
      </c>
      <c r="G53" s="322"/>
      <c r="L53" s="132"/>
      <c r="P53">
        <v>6</v>
      </c>
      <c r="AJ53" s="208">
        <v>53</v>
      </c>
      <c r="AK53" s="441"/>
      <c r="AL53" s="206"/>
      <c r="AM53" s="206"/>
      <c r="AN53" s="206"/>
      <c r="AO53" s="206"/>
    </row>
    <row r="54" spans="1:41">
      <c r="G54" s="322"/>
      <c r="L54" s="132"/>
      <c r="N54" s="95"/>
      <c r="O54" s="112"/>
      <c r="P54">
        <v>7</v>
      </c>
    </row>
    <row r="55" spans="1:41">
      <c r="G55" s="322"/>
      <c r="L55" s="132"/>
      <c r="N55" s="95"/>
      <c r="O55" s="112"/>
      <c r="P55">
        <v>8</v>
      </c>
    </row>
    <row r="56" spans="1:41">
      <c r="G56" s="322"/>
      <c r="L56" s="131"/>
      <c r="N56" s="95"/>
      <c r="O56" s="112"/>
      <c r="P56">
        <v>9</v>
      </c>
    </row>
    <row r="57" spans="1:41">
      <c r="G57" s="322"/>
      <c r="L57" s="131"/>
      <c r="N57" s="95"/>
      <c r="O57" s="112"/>
      <c r="P57">
        <v>10</v>
      </c>
    </row>
    <row r="58" spans="1:41">
      <c r="G58" s="322"/>
      <c r="L58" s="131"/>
      <c r="N58" s="95"/>
      <c r="O58" s="112"/>
      <c r="P58">
        <v>11</v>
      </c>
    </row>
    <row r="59" spans="1:41">
      <c r="G59" s="322"/>
      <c r="L59" s="131"/>
      <c r="P59">
        <v>12</v>
      </c>
    </row>
    <row r="60" spans="1:41">
      <c r="G60" s="322"/>
      <c r="K60" s="112"/>
      <c r="Q60" s="112"/>
      <c r="R60" s="112"/>
      <c r="S60" s="112"/>
    </row>
    <row r="61" spans="1:41">
      <c r="G61" s="322"/>
      <c r="K61" s="112"/>
      <c r="Q61" s="112"/>
      <c r="R61" s="112"/>
      <c r="S61" s="112"/>
    </row>
    <row r="62" spans="1:41">
      <c r="G62" s="322"/>
      <c r="K62" s="112"/>
      <c r="Q62" s="112"/>
      <c r="R62" s="112"/>
      <c r="S62" s="112"/>
    </row>
    <row r="63" spans="1:41">
      <c r="G63" s="322"/>
      <c r="K63" s="112"/>
      <c r="Q63" s="112"/>
      <c r="R63" s="112"/>
      <c r="S63" s="112"/>
    </row>
    <row r="64" spans="1:41">
      <c r="G64" s="322"/>
      <c r="K64" s="112"/>
      <c r="Q64" s="112"/>
      <c r="R64" s="112"/>
      <c r="S64" s="112"/>
    </row>
    <row r="65" spans="7:19">
      <c r="G65" s="322"/>
      <c r="K65" s="112"/>
      <c r="Q65" s="112"/>
      <c r="R65" s="112"/>
      <c r="S65" s="112"/>
    </row>
    <row r="66" spans="7:19">
      <c r="G66" s="322"/>
      <c r="K66" s="112"/>
      <c r="Q66" s="112"/>
      <c r="R66" s="112"/>
      <c r="S66" s="112"/>
    </row>
    <row r="67" spans="7:19">
      <c r="G67" s="322"/>
      <c r="K67" s="112"/>
      <c r="Q67" s="112"/>
      <c r="R67" s="112"/>
      <c r="S67" s="112"/>
    </row>
    <row r="68" spans="7:19">
      <c r="G68" s="322"/>
      <c r="K68" s="112"/>
      <c r="Q68" s="112"/>
      <c r="R68" s="112"/>
      <c r="S68" s="112"/>
    </row>
    <row r="69" spans="7:19">
      <c r="G69" s="322"/>
      <c r="J69" s="112"/>
    </row>
    <row r="70" spans="7:19">
      <c r="G70" s="322"/>
    </row>
    <row r="71" spans="7:19">
      <c r="G71" s="322"/>
    </row>
    <row r="72" spans="7:19">
      <c r="G72" s="322"/>
    </row>
    <row r="73" spans="7:19">
      <c r="G73" s="322"/>
    </row>
    <row r="74" spans="7:19">
      <c r="G74" s="322"/>
    </row>
    <row r="75" spans="7:19">
      <c r="G75" s="322"/>
    </row>
    <row r="76" spans="7:19">
      <c r="G76" s="322"/>
    </row>
    <row r="77" spans="7:19">
      <c r="G77" s="322"/>
    </row>
    <row r="78" spans="7:19">
      <c r="G78" s="322"/>
    </row>
    <row r="79" spans="7:19">
      <c r="G79" s="322"/>
    </row>
    <row r="80" spans="7:19">
      <c r="G80" s="322"/>
    </row>
    <row r="81" spans="7:7">
      <c r="G81" s="322"/>
    </row>
    <row r="82" spans="7:7">
      <c r="G82" s="322"/>
    </row>
    <row r="83" spans="7:7">
      <c r="G83" s="322"/>
    </row>
    <row r="84" spans="7:7">
      <c r="G84" s="322"/>
    </row>
    <row r="85" spans="7:7">
      <c r="G85" s="322"/>
    </row>
    <row r="86" spans="7:7">
      <c r="G86" s="322"/>
    </row>
    <row r="87" spans="7:7">
      <c r="G87" s="322"/>
    </row>
    <row r="88" spans="7:7">
      <c r="G88" s="322"/>
    </row>
    <row r="89" spans="7:7">
      <c r="G89" s="322"/>
    </row>
    <row r="90" spans="7:7">
      <c r="G90" s="322"/>
    </row>
    <row r="91" spans="7:7">
      <c r="G91" s="322"/>
    </row>
    <row r="92" spans="7:7">
      <c r="G92" s="322"/>
    </row>
    <row r="93" spans="7:7">
      <c r="G93" s="322"/>
    </row>
    <row r="94" spans="7:7">
      <c r="G94" s="322"/>
    </row>
    <row r="95" spans="7:7">
      <c r="G95" s="322"/>
    </row>
    <row r="96" spans="7:7">
      <c r="G96" s="322"/>
    </row>
    <row r="97" spans="7:7">
      <c r="G97" s="322"/>
    </row>
    <row r="98" spans="7:7">
      <c r="G98" s="322"/>
    </row>
    <row r="99" spans="7:7">
      <c r="G99" s="322"/>
    </row>
    <row r="100" spans="7:7">
      <c r="G100" s="322"/>
    </row>
    <row r="101" spans="7:7">
      <c r="G101" s="322"/>
    </row>
    <row r="102" spans="7:7">
      <c r="G102" s="322"/>
    </row>
    <row r="103" spans="7:7">
      <c r="G103" s="322"/>
    </row>
    <row r="104" spans="7:7">
      <c r="G104" s="322"/>
    </row>
    <row r="105" spans="7:7">
      <c r="G105" s="322"/>
    </row>
    <row r="106" spans="7:7">
      <c r="G106" s="322"/>
    </row>
    <row r="107" spans="7:7">
      <c r="G107" s="322"/>
    </row>
    <row r="108" spans="7:7">
      <c r="G108" s="322"/>
    </row>
    <row r="109" spans="7:7">
      <c r="G109" s="322"/>
    </row>
    <row r="110" spans="7:7">
      <c r="G110" s="322"/>
    </row>
    <row r="111" spans="7:7">
      <c r="G111" s="322"/>
    </row>
    <row r="112" spans="7:7">
      <c r="G112" s="322"/>
    </row>
    <row r="113" spans="7:7">
      <c r="G113" s="322"/>
    </row>
    <row r="114" spans="7:7">
      <c r="G114" s="322"/>
    </row>
    <row r="115" spans="7:7">
      <c r="G115" s="322"/>
    </row>
    <row r="116" spans="7:7">
      <c r="G116" s="322"/>
    </row>
    <row r="117" spans="7:7">
      <c r="G117" s="322"/>
    </row>
    <row r="118" spans="7:7">
      <c r="G118" s="322"/>
    </row>
    <row r="119" spans="7:7">
      <c r="G119" s="322"/>
    </row>
    <row r="120" spans="7:7">
      <c r="G120" s="322"/>
    </row>
    <row r="121" spans="7:7">
      <c r="G121" s="322"/>
    </row>
    <row r="122" spans="7:7">
      <c r="G122" s="322"/>
    </row>
    <row r="123" spans="7:7">
      <c r="G123" s="322"/>
    </row>
  </sheetData>
  <sortState xmlns:xlrd2="http://schemas.microsoft.com/office/spreadsheetml/2017/richdata2" ref="R48:S52">
    <sortCondition ref="R48"/>
  </sortState>
  <phoneticPr fontId="2" type="noConversion"/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331" r:id="rId4" name="Button 12723">
              <controlPr defaultSize="0" print="0" autoFill="0" autoLine="0" autoPict="0" macro="[0]!gotoplay">
                <anchor moveWithCells="1" sizeWithCells="1">
                  <from>
                    <xdr:col>11</xdr:col>
                    <xdr:colOff>19050</xdr:colOff>
                    <xdr:row>32</xdr:row>
                    <xdr:rowOff>28575</xdr:rowOff>
                  </from>
                  <to>
                    <xdr:col>11</xdr:col>
                    <xdr:colOff>752475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6" r:id="rId5" name="Button 13858">
              <controlPr defaultSize="0" print="0" autoFill="0" autoLine="0" autoPict="0" macro="[0]!gotoplay">
                <anchor moveWithCells="1" sizeWithCells="1">
                  <from>
                    <xdr:col>19</xdr:col>
                    <xdr:colOff>38100</xdr:colOff>
                    <xdr:row>14</xdr:row>
                    <xdr:rowOff>95250</xdr:rowOff>
                  </from>
                  <to>
                    <xdr:col>20</xdr:col>
                    <xdr:colOff>304800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7" r:id="rId6" name="spade data">
              <controlPr defaultSize="0" print="0" autoFill="0" autoLine="0" autoPict="0" macro="[0]!spade">
                <anchor moveWithCells="1" sizeWithCells="1">
                  <from>
                    <xdr:col>20</xdr:col>
                    <xdr:colOff>161925</xdr:colOff>
                    <xdr:row>7</xdr:row>
                    <xdr:rowOff>95250</xdr:rowOff>
                  </from>
                  <to>
                    <xdr:col>20</xdr:col>
                    <xdr:colOff>295275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8" r:id="rId7" name="diamond data">
              <controlPr defaultSize="0" print="0" autoFill="0" autoLine="0" autoPict="0" macro="[0]!diamond">
                <anchor moveWithCells="1" sizeWithCells="1">
                  <from>
                    <xdr:col>20</xdr:col>
                    <xdr:colOff>161925</xdr:colOff>
                    <xdr:row>8</xdr:row>
                    <xdr:rowOff>152400</xdr:rowOff>
                  </from>
                  <to>
                    <xdr:col>20</xdr:col>
                    <xdr:colOff>295275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9" r:id="rId8" name="heart data">
              <controlPr defaultSize="0" print="0" autoFill="0" autoLine="0" autoPict="0" macro="[0]!heart">
                <anchor moveWithCells="1" sizeWithCells="1">
                  <from>
                    <xdr:col>20</xdr:col>
                    <xdr:colOff>161925</xdr:colOff>
                    <xdr:row>10</xdr:row>
                    <xdr:rowOff>47625</xdr:rowOff>
                  </from>
                  <to>
                    <xdr:col>20</xdr:col>
                    <xdr:colOff>295275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0" r:id="rId9" name="club data">
              <controlPr defaultSize="0" print="0" autoFill="0" autoLine="0" autoPict="0" macro="[0]!club">
                <anchor moveWithCells="1" sizeWithCells="1">
                  <from>
                    <xdr:col>20</xdr:col>
                    <xdr:colOff>161925</xdr:colOff>
                    <xdr:row>11</xdr:row>
                    <xdr:rowOff>85725</xdr:rowOff>
                  </from>
                  <to>
                    <xdr:col>20</xdr:col>
                    <xdr:colOff>295275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34"/>
  <sheetViews>
    <sheetView showGridLines="0" showZeros="0" showOutlineSymbols="0" workbookViewId="0">
      <selection activeCell="H34" sqref="H34"/>
    </sheetView>
  </sheetViews>
  <sheetFormatPr defaultRowHeight="12.75"/>
  <cols>
    <col min="1" max="1" width="3.83203125" customWidth="1"/>
    <col min="2" max="2" width="1.5" customWidth="1"/>
    <col min="3" max="3" width="24.5" customWidth="1"/>
    <col min="4" max="4" width="19.83203125" customWidth="1"/>
    <col min="5" max="5" width="23" customWidth="1"/>
    <col min="6" max="6" width="8.6640625" customWidth="1"/>
    <col min="7" max="7" width="1.5" customWidth="1"/>
    <col min="8" max="8" width="11.83203125" customWidth="1"/>
  </cols>
  <sheetData>
    <row r="1" spans="1:8" ht="3.75" customHeight="1">
      <c r="A1" s="27"/>
      <c r="B1" s="27"/>
      <c r="C1" s="27"/>
      <c r="D1" s="27"/>
      <c r="E1" s="27"/>
      <c r="F1" s="27"/>
      <c r="G1" s="27"/>
      <c r="H1" s="27"/>
    </row>
    <row r="2" spans="1:8" ht="13.5" thickBot="1">
      <c r="A2" s="27"/>
      <c r="B2" s="27"/>
      <c r="C2" s="228" t="s">
        <v>66</v>
      </c>
      <c r="D2" s="229" t="s">
        <v>104</v>
      </c>
      <c r="E2" s="189" t="s">
        <v>105</v>
      </c>
      <c r="F2" s="189" t="s">
        <v>106</v>
      </c>
      <c r="G2" s="27"/>
      <c r="H2" s="27"/>
    </row>
    <row r="3" spans="1:8" ht="9.9499999999999993" customHeight="1" thickTop="1">
      <c r="A3" s="27"/>
      <c r="B3" s="209"/>
      <c r="C3" s="124" t="s">
        <v>2</v>
      </c>
      <c r="D3" s="225" t="s">
        <v>2</v>
      </c>
      <c r="E3" s="186"/>
      <c r="F3" s="217">
        <v>4000</v>
      </c>
      <c r="G3" s="27"/>
      <c r="H3" s="27"/>
    </row>
    <row r="4" spans="1:8" ht="9.9499999999999993" customHeight="1">
      <c r="A4" s="27"/>
      <c r="B4" s="209"/>
      <c r="C4" s="124" t="s">
        <v>55</v>
      </c>
      <c r="D4" s="225" t="s">
        <v>107</v>
      </c>
      <c r="E4" s="186"/>
      <c r="F4" s="217">
        <v>1000</v>
      </c>
      <c r="G4" s="27"/>
      <c r="H4" s="27"/>
    </row>
    <row r="5" spans="1:8" ht="9.9499999999999993" customHeight="1">
      <c r="A5" s="27"/>
      <c r="B5" s="209"/>
      <c r="C5" s="124" t="s">
        <v>68</v>
      </c>
      <c r="D5" s="225" t="s">
        <v>108</v>
      </c>
      <c r="E5" s="186"/>
      <c r="F5" s="217">
        <v>500</v>
      </c>
      <c r="G5" s="27"/>
      <c r="H5" s="218" t="s">
        <v>109</v>
      </c>
    </row>
    <row r="6" spans="1:8" ht="9.9499999999999993" customHeight="1">
      <c r="A6" s="27"/>
      <c r="B6" s="209"/>
      <c r="C6" s="124" t="s">
        <v>5</v>
      </c>
      <c r="D6" s="225" t="s">
        <v>5</v>
      </c>
      <c r="E6" s="186"/>
      <c r="F6" s="217">
        <v>250</v>
      </c>
      <c r="G6" s="27"/>
      <c r="H6" s="27"/>
    </row>
    <row r="7" spans="1:8" ht="9.9499999999999993" customHeight="1">
      <c r="A7" s="27"/>
      <c r="B7" s="209"/>
      <c r="C7" s="124" t="s">
        <v>74</v>
      </c>
      <c r="D7" s="225" t="s">
        <v>5</v>
      </c>
      <c r="E7" s="187"/>
      <c r="F7" s="217">
        <v>250</v>
      </c>
      <c r="G7" s="27"/>
      <c r="H7" s="27"/>
    </row>
    <row r="8" spans="1:8" ht="9.9499999999999993" customHeight="1">
      <c r="A8" s="27"/>
      <c r="B8" s="209"/>
      <c r="C8" s="124" t="s">
        <v>21</v>
      </c>
      <c r="D8" s="225" t="s">
        <v>10</v>
      </c>
      <c r="E8" s="187" t="s">
        <v>110</v>
      </c>
      <c r="F8" s="217">
        <v>100</v>
      </c>
      <c r="G8" s="27"/>
      <c r="H8" s="27"/>
    </row>
    <row r="9" spans="1:8" ht="9.9499999999999993" customHeight="1">
      <c r="A9" s="27"/>
      <c r="B9" s="209"/>
      <c r="C9" s="124" t="s">
        <v>13</v>
      </c>
      <c r="D9" s="225" t="s">
        <v>13</v>
      </c>
      <c r="E9" s="186"/>
      <c r="F9" s="217">
        <v>35</v>
      </c>
      <c r="G9" s="27"/>
      <c r="H9" s="27"/>
    </row>
    <row r="10" spans="1:8" ht="9.9499999999999993" customHeight="1">
      <c r="A10" s="27"/>
      <c r="B10" s="209"/>
      <c r="C10" s="124" t="s">
        <v>22</v>
      </c>
      <c r="D10" s="225" t="s">
        <v>13</v>
      </c>
      <c r="E10" s="186"/>
      <c r="F10" s="217">
        <v>35</v>
      </c>
      <c r="G10" s="27"/>
      <c r="H10" s="27"/>
    </row>
    <row r="11" spans="1:8" ht="9.9499999999999993" customHeight="1">
      <c r="A11" s="27"/>
      <c r="B11" s="209"/>
      <c r="C11" s="124" t="s">
        <v>17</v>
      </c>
      <c r="D11" s="225" t="s">
        <v>17</v>
      </c>
      <c r="E11" s="186"/>
      <c r="F11" s="217">
        <v>25</v>
      </c>
      <c r="G11" s="27"/>
      <c r="H11" s="27"/>
    </row>
    <row r="12" spans="1:8" ht="9.9499999999999993" customHeight="1">
      <c r="A12" s="27"/>
      <c r="B12" s="209"/>
      <c r="C12" s="124" t="s">
        <v>76</v>
      </c>
      <c r="D12" s="226" t="s">
        <v>17</v>
      </c>
      <c r="E12" s="187"/>
      <c r="F12" s="217">
        <v>25</v>
      </c>
      <c r="G12" s="27"/>
      <c r="H12" s="27"/>
    </row>
    <row r="13" spans="1:8" ht="9.9499999999999993" customHeight="1">
      <c r="A13" s="27"/>
      <c r="B13" s="209"/>
      <c r="C13" s="124" t="s">
        <v>19</v>
      </c>
      <c r="D13" s="225" t="s">
        <v>19</v>
      </c>
      <c r="E13" s="186"/>
      <c r="F13" s="217">
        <v>15</v>
      </c>
      <c r="G13" s="27"/>
      <c r="H13" s="27"/>
    </row>
    <row r="14" spans="1:8" ht="9.9499999999999993" customHeight="1">
      <c r="A14" s="27"/>
      <c r="B14" s="209"/>
      <c r="C14" s="124" t="s">
        <v>79</v>
      </c>
      <c r="D14" s="226" t="s">
        <v>19</v>
      </c>
      <c r="E14" s="187"/>
      <c r="F14" s="217">
        <v>15</v>
      </c>
      <c r="G14" s="27"/>
      <c r="H14" s="27"/>
    </row>
    <row r="15" spans="1:8" ht="9.9499999999999993" customHeight="1">
      <c r="A15" s="27"/>
      <c r="B15" s="209"/>
      <c r="C15" s="124" t="s">
        <v>24</v>
      </c>
      <c r="D15" s="225" t="s">
        <v>21</v>
      </c>
      <c r="E15" s="187" t="s">
        <v>111</v>
      </c>
      <c r="F15" s="217">
        <v>10</v>
      </c>
      <c r="G15" s="27"/>
      <c r="H15" s="27"/>
    </row>
    <row r="16" spans="1:8" ht="9.9499999999999993" customHeight="1">
      <c r="A16" s="27"/>
      <c r="B16" s="209"/>
      <c r="C16" s="124" t="s">
        <v>77</v>
      </c>
      <c r="D16" s="226" t="s">
        <v>21</v>
      </c>
      <c r="E16" s="187" t="s">
        <v>111</v>
      </c>
      <c r="F16" s="217">
        <v>10</v>
      </c>
      <c r="G16" s="27"/>
      <c r="H16" s="27"/>
    </row>
    <row r="17" spans="1:8" ht="9.9499999999999993" customHeight="1">
      <c r="A17" s="27"/>
      <c r="B17" s="209"/>
      <c r="C17" s="124" t="s">
        <v>22</v>
      </c>
      <c r="D17" s="225" t="s">
        <v>22</v>
      </c>
      <c r="E17" s="186"/>
      <c r="F17" s="217">
        <v>5</v>
      </c>
      <c r="G17" s="27"/>
      <c r="H17" s="27"/>
    </row>
    <row r="18" spans="1:8" ht="9.9499999999999993" customHeight="1">
      <c r="A18" s="27"/>
      <c r="B18" s="209"/>
      <c r="C18" s="124" t="s">
        <v>73</v>
      </c>
      <c r="D18" s="225" t="s">
        <v>24</v>
      </c>
      <c r="E18" s="187" t="s">
        <v>112</v>
      </c>
      <c r="F18" s="217">
        <v>5</v>
      </c>
      <c r="G18" s="27"/>
      <c r="H18" s="27"/>
    </row>
    <row r="19" spans="1:8" ht="9.9499999999999993" customHeight="1">
      <c r="A19" s="27"/>
      <c r="B19" s="209"/>
      <c r="C19" s="124" t="s">
        <v>82</v>
      </c>
      <c r="D19" s="226" t="s">
        <v>24</v>
      </c>
      <c r="E19" s="187" t="s">
        <v>113</v>
      </c>
      <c r="F19" s="217">
        <v>5</v>
      </c>
      <c r="G19" s="27"/>
      <c r="H19" s="27"/>
    </row>
    <row r="20" spans="1:8" ht="9.9499999999999993" customHeight="1">
      <c r="A20" s="27"/>
      <c r="B20" s="209"/>
      <c r="C20" s="124" t="s">
        <v>84</v>
      </c>
      <c r="D20" s="226" t="s">
        <v>24</v>
      </c>
      <c r="E20" s="187" t="s">
        <v>113</v>
      </c>
      <c r="F20" s="217">
        <v>5</v>
      </c>
      <c r="G20" s="27"/>
      <c r="H20" s="27"/>
    </row>
    <row r="21" spans="1:8" ht="9.9499999999999993" customHeight="1">
      <c r="A21" s="27"/>
      <c r="B21" s="209"/>
      <c r="C21" s="124" t="s">
        <v>85</v>
      </c>
      <c r="D21" s="226" t="s">
        <v>24</v>
      </c>
      <c r="E21" s="187" t="s">
        <v>114</v>
      </c>
      <c r="F21" s="217">
        <v>5</v>
      </c>
      <c r="G21" s="27"/>
      <c r="H21" s="27"/>
    </row>
    <row r="22" spans="1:8" ht="9.9499999999999993" customHeight="1">
      <c r="A22" s="27"/>
      <c r="B22" s="209"/>
      <c r="C22" s="124" t="s">
        <v>86</v>
      </c>
      <c r="D22" s="226" t="s">
        <v>24</v>
      </c>
      <c r="E22" s="187" t="s">
        <v>113</v>
      </c>
      <c r="F22" s="217">
        <v>5</v>
      </c>
      <c r="G22" s="27"/>
      <c r="H22" s="27"/>
    </row>
    <row r="23" spans="1:8" ht="9.9499999999999993" customHeight="1">
      <c r="A23" s="27"/>
      <c r="B23" s="27"/>
      <c r="C23" s="124" t="s">
        <v>87</v>
      </c>
      <c r="D23" s="226" t="s">
        <v>24</v>
      </c>
      <c r="E23" s="187" t="s">
        <v>115</v>
      </c>
      <c r="F23" s="217">
        <v>5</v>
      </c>
      <c r="G23" s="27"/>
      <c r="H23" s="27"/>
    </row>
    <row r="24" spans="1:8" ht="9.9499999999999993" customHeight="1">
      <c r="A24" s="27"/>
      <c r="B24" s="27"/>
      <c r="C24" s="124" t="s">
        <v>88</v>
      </c>
      <c r="D24" s="226" t="s">
        <v>24</v>
      </c>
      <c r="E24" s="187" t="s">
        <v>115</v>
      </c>
      <c r="F24" s="217">
        <v>5</v>
      </c>
      <c r="G24" s="27"/>
      <c r="H24" s="27"/>
    </row>
    <row r="25" spans="1:8" ht="9.9499999999999993" customHeight="1">
      <c r="A25" s="27"/>
      <c r="B25" s="27"/>
      <c r="C25" s="124" t="s">
        <v>89</v>
      </c>
      <c r="D25" s="226" t="s">
        <v>24</v>
      </c>
      <c r="E25" s="186"/>
      <c r="F25" s="217">
        <v>5</v>
      </c>
      <c r="G25" s="27"/>
      <c r="H25" s="27"/>
    </row>
    <row r="26" spans="1:8" ht="9.9499999999999993" customHeight="1">
      <c r="A26" s="27"/>
      <c r="B26" s="27"/>
      <c r="C26" s="124" t="s">
        <v>90</v>
      </c>
      <c r="D26" s="226" t="s">
        <v>24</v>
      </c>
      <c r="E26" s="186"/>
      <c r="F26" s="217">
        <v>5</v>
      </c>
      <c r="G26" s="27"/>
      <c r="H26" s="27"/>
    </row>
    <row r="27" spans="1:8" ht="9.9499999999999993" customHeight="1">
      <c r="A27" s="27"/>
      <c r="B27" s="209"/>
      <c r="C27" s="188" t="s">
        <v>80</v>
      </c>
      <c r="D27" s="234" t="s">
        <v>74</v>
      </c>
      <c r="E27" s="186"/>
      <c r="F27" s="217">
        <v>0</v>
      </c>
      <c r="G27" s="27"/>
      <c r="H27" s="27"/>
    </row>
    <row r="28" spans="1:8" ht="9.9499999999999993" customHeight="1">
      <c r="A28" s="27"/>
      <c r="B28" s="27"/>
      <c r="C28" s="188" t="s">
        <v>91</v>
      </c>
      <c r="D28" s="234" t="s">
        <v>76</v>
      </c>
      <c r="E28" s="186"/>
      <c r="F28" s="217">
        <v>0</v>
      </c>
      <c r="G28" s="27"/>
      <c r="H28" s="27"/>
    </row>
    <row r="29" spans="1:8" ht="9.9499999999999993" customHeight="1">
      <c r="A29" s="27"/>
      <c r="B29" s="27"/>
      <c r="C29" s="188" t="s">
        <v>92</v>
      </c>
      <c r="D29" s="234" t="s">
        <v>79</v>
      </c>
      <c r="E29" s="186"/>
      <c r="F29" s="217">
        <v>0</v>
      </c>
      <c r="G29" s="27"/>
      <c r="H29" s="27"/>
    </row>
    <row r="30" spans="1:8" ht="9.9499999999999993" customHeight="1" thickBot="1">
      <c r="A30" s="27"/>
      <c r="B30" s="27"/>
      <c r="C30" s="230" t="s">
        <v>26</v>
      </c>
      <c r="D30" s="231" t="s">
        <v>26</v>
      </c>
      <c r="E30" s="232"/>
      <c r="F30" s="233">
        <v>0</v>
      </c>
      <c r="G30" s="27"/>
      <c r="H30" s="27"/>
    </row>
    <row r="31" spans="1:8" ht="13.5" thickTop="1">
      <c r="A31" s="27"/>
      <c r="B31" s="27"/>
      <c r="C31" s="27"/>
      <c r="D31" s="27"/>
      <c r="E31" s="27"/>
      <c r="F31" s="27"/>
      <c r="G31" s="27"/>
      <c r="H31" s="27"/>
    </row>
    <row r="32" spans="1:8">
      <c r="A32" s="27"/>
      <c r="B32" s="27"/>
      <c r="C32" s="27"/>
      <c r="D32" s="27"/>
      <c r="E32" s="27"/>
      <c r="F32" s="27"/>
      <c r="G32" s="27"/>
      <c r="H32" s="27"/>
    </row>
    <row r="33" spans="1:8">
      <c r="A33" s="27"/>
      <c r="B33" s="27"/>
      <c r="C33" s="27"/>
      <c r="D33" s="27"/>
      <c r="E33" s="27"/>
      <c r="F33" s="27"/>
      <c r="G33" s="27"/>
      <c r="H33" s="27"/>
    </row>
    <row r="34" spans="1:8">
      <c r="C34" s="27"/>
      <c r="D34" s="27"/>
      <c r="E34" s="27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Line="0" autoPict="0" macro="[0]!gotoplay">
                <anchor moveWithCells="1" sizeWithCells="1">
                  <from>
                    <xdr:col>7</xdr:col>
                    <xdr:colOff>9525</xdr:colOff>
                    <xdr:row>8</xdr:row>
                    <xdr:rowOff>114300</xdr:rowOff>
                  </from>
                  <to>
                    <xdr:col>7</xdr:col>
                    <xdr:colOff>666750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F51"/>
  <sheetViews>
    <sheetView showGridLines="0" showZeros="0" showOutlineSymbols="0" zoomScale="90" zoomScaleNormal="9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defaultRowHeight="12.75"/>
  <cols>
    <col min="2" max="2" width="21.33203125" customWidth="1"/>
    <col min="3" max="3" width="56.5" customWidth="1"/>
    <col min="4" max="4" width="0.83203125" customWidth="1"/>
    <col min="5" max="5" width="17.6640625" customWidth="1"/>
    <col min="6" max="6" width="21.83203125" customWidth="1"/>
  </cols>
  <sheetData>
    <row r="1" spans="2:5" ht="18.75">
      <c r="B1" s="239"/>
      <c r="C1" s="240" t="s">
        <v>116</v>
      </c>
      <c r="D1" s="240"/>
      <c r="E1" s="239"/>
    </row>
    <row r="2" spans="2:5" ht="18.75">
      <c r="B2" s="241" t="s">
        <v>117</v>
      </c>
      <c r="C2" s="241" t="s">
        <v>118</v>
      </c>
      <c r="D2" s="241"/>
      <c r="E2" s="241" t="s">
        <v>119</v>
      </c>
    </row>
    <row r="3" spans="2:5" s="236" customFormat="1" ht="16.5" customHeight="1">
      <c r="B3" s="446" t="s">
        <v>28</v>
      </c>
      <c r="C3" s="447" t="s">
        <v>120</v>
      </c>
      <c r="D3" s="447"/>
      <c r="E3" s="448"/>
    </row>
    <row r="4" spans="2:5" s="236" customFormat="1" ht="25.5">
      <c r="B4" s="446" t="s">
        <v>23</v>
      </c>
      <c r="C4" s="447" t="s">
        <v>121</v>
      </c>
      <c r="D4" s="447"/>
      <c r="E4" s="448"/>
    </row>
    <row r="5" spans="2:5" s="236" customFormat="1" ht="38.25">
      <c r="B5" s="446" t="s">
        <v>122</v>
      </c>
      <c r="C5" s="447" t="s">
        <v>123</v>
      </c>
      <c r="D5" s="447"/>
      <c r="E5" s="447"/>
    </row>
    <row r="6" spans="2:5" s="236" customFormat="1" ht="25.5">
      <c r="B6" s="446" t="s">
        <v>124</v>
      </c>
      <c r="C6" s="447" t="s">
        <v>125</v>
      </c>
      <c r="D6" s="447"/>
      <c r="E6" s="447"/>
    </row>
    <row r="7" spans="2:5" s="236" customFormat="1" ht="25.5">
      <c r="B7" s="446" t="s">
        <v>126</v>
      </c>
      <c r="C7" s="447" t="s">
        <v>127</v>
      </c>
      <c r="D7" s="447"/>
      <c r="E7" s="448"/>
    </row>
    <row r="8" spans="2:5" s="236" customFormat="1" ht="51">
      <c r="B8" s="446" t="s">
        <v>15</v>
      </c>
      <c r="C8" s="447" t="s">
        <v>128</v>
      </c>
      <c r="D8" s="447"/>
      <c r="E8" s="448"/>
    </row>
    <row r="9" spans="2:5" s="236" customFormat="1" ht="25.5">
      <c r="B9" s="446" t="s">
        <v>129</v>
      </c>
      <c r="C9" s="447" t="s">
        <v>130</v>
      </c>
      <c r="D9" s="447"/>
      <c r="E9" s="448"/>
    </row>
    <row r="10" spans="2:5" s="236" customFormat="1" ht="18" customHeight="1">
      <c r="B10" s="446" t="s">
        <v>131</v>
      </c>
      <c r="C10" s="447" t="s">
        <v>132</v>
      </c>
      <c r="D10" s="447"/>
      <c r="E10" s="448"/>
    </row>
    <row r="11" spans="2:5" s="236" customFormat="1" ht="63.75">
      <c r="B11" s="446" t="s">
        <v>18</v>
      </c>
      <c r="C11" s="447" t="s">
        <v>133</v>
      </c>
      <c r="D11" s="447"/>
      <c r="E11" s="447"/>
    </row>
    <row r="12" spans="2:5" s="237" customFormat="1" ht="27" customHeight="1">
      <c r="B12" s="446" t="s">
        <v>134</v>
      </c>
      <c r="C12" s="447" t="s">
        <v>135</v>
      </c>
      <c r="D12" s="447"/>
      <c r="E12" s="447"/>
    </row>
    <row r="13" spans="2:5" s="237" customFormat="1" ht="38.25">
      <c r="B13" s="446" t="s">
        <v>136</v>
      </c>
      <c r="C13" s="447" t="s">
        <v>137</v>
      </c>
      <c r="D13" s="447"/>
      <c r="E13" s="448"/>
    </row>
    <row r="14" spans="2:5" s="237" customFormat="1" ht="25.5">
      <c r="B14" s="446" t="s">
        <v>33</v>
      </c>
      <c r="C14" s="447" t="s">
        <v>138</v>
      </c>
      <c r="D14" s="447"/>
      <c r="E14" s="448"/>
    </row>
    <row r="15" spans="2:5" s="237" customFormat="1" ht="25.5">
      <c r="B15" s="446" t="s">
        <v>25</v>
      </c>
      <c r="C15" s="447" t="s">
        <v>139</v>
      </c>
      <c r="D15" s="447"/>
      <c r="E15" s="448"/>
    </row>
    <row r="16" spans="2:5" s="237" customFormat="1">
      <c r="B16" s="446" t="s">
        <v>140</v>
      </c>
      <c r="C16" s="447" t="s">
        <v>141</v>
      </c>
      <c r="D16" s="447"/>
      <c r="E16" s="448"/>
    </row>
    <row r="17" spans="2:6" s="237" customFormat="1" ht="38.25">
      <c r="B17" s="446" t="s">
        <v>142</v>
      </c>
      <c r="C17" s="447" t="s">
        <v>143</v>
      </c>
      <c r="D17" s="447"/>
      <c r="E17" s="448"/>
      <c r="F17" s="238"/>
    </row>
    <row r="18" spans="2:6" s="237" customFormat="1" ht="38.25">
      <c r="B18" s="446" t="s">
        <v>144</v>
      </c>
      <c r="C18" s="447" t="s">
        <v>145</v>
      </c>
      <c r="D18" s="447"/>
      <c r="E18" s="448"/>
      <c r="F18" s="238"/>
    </row>
    <row r="19" spans="2:6" s="237" customFormat="1">
      <c r="B19" s="446" t="s">
        <v>146</v>
      </c>
      <c r="C19" s="447" t="s">
        <v>147</v>
      </c>
      <c r="D19" s="447"/>
      <c r="E19" s="448"/>
      <c r="F19" s="238"/>
    </row>
    <row r="20" spans="2:6" s="237" customFormat="1" ht="38.25">
      <c r="B20" s="446" t="s">
        <v>148</v>
      </c>
      <c r="C20" s="447" t="s">
        <v>149</v>
      </c>
      <c r="D20" s="447"/>
      <c r="E20" s="448"/>
      <c r="F20" s="238"/>
    </row>
    <row r="21" spans="2:6" s="237" customFormat="1" ht="38.25">
      <c r="B21" s="446" t="s">
        <v>150</v>
      </c>
      <c r="C21" s="447" t="s">
        <v>151</v>
      </c>
      <c r="D21" s="447"/>
      <c r="E21" s="447"/>
      <c r="F21" s="238"/>
    </row>
    <row r="22" spans="2:6" s="237" customFormat="1" ht="24.75" customHeight="1">
      <c r="B22" s="446" t="s">
        <v>152</v>
      </c>
      <c r="C22" s="447" t="s">
        <v>153</v>
      </c>
      <c r="D22" s="447"/>
      <c r="E22" s="448"/>
      <c r="F22" s="238"/>
    </row>
    <row r="23" spans="2:6" s="237" customFormat="1" ht="24.75" customHeight="1">
      <c r="B23" s="446" t="s">
        <v>154</v>
      </c>
      <c r="C23" s="447" t="s">
        <v>155</v>
      </c>
      <c r="D23" s="447"/>
      <c r="E23" s="448"/>
      <c r="F23" s="238"/>
    </row>
    <row r="24" spans="2:6" s="237" customFormat="1" ht="25.5">
      <c r="B24" s="446" t="s">
        <v>156</v>
      </c>
      <c r="C24" s="447" t="s">
        <v>157</v>
      </c>
      <c r="D24" s="447"/>
      <c r="E24" s="448"/>
      <c r="F24" s="238"/>
    </row>
    <row r="25" spans="2:6" s="237" customFormat="1" ht="24.75" customHeight="1">
      <c r="B25" s="446" t="s">
        <v>158</v>
      </c>
      <c r="C25" s="447" t="s">
        <v>159</v>
      </c>
      <c r="D25" s="447"/>
      <c r="E25" s="448"/>
      <c r="F25" s="238"/>
    </row>
    <row r="26" spans="2:6" s="237" customFormat="1" ht="25.5">
      <c r="B26" s="446" t="s">
        <v>160</v>
      </c>
      <c r="C26" s="447" t="s">
        <v>161</v>
      </c>
      <c r="D26" s="447"/>
      <c r="E26" s="448"/>
      <c r="F26" s="238"/>
    </row>
    <row r="27" spans="2:6" s="237" customFormat="1" ht="38.25">
      <c r="B27" s="446" t="s">
        <v>162</v>
      </c>
      <c r="C27" s="447" t="s">
        <v>163</v>
      </c>
      <c r="D27" s="447"/>
      <c r="E27" s="448"/>
      <c r="F27" s="238"/>
    </row>
    <row r="28" spans="2:6" s="237" customFormat="1" ht="24.75" customHeight="1">
      <c r="B28" s="446" t="s">
        <v>164</v>
      </c>
      <c r="C28" s="447" t="s">
        <v>165</v>
      </c>
      <c r="D28" s="447"/>
      <c r="E28" s="448"/>
      <c r="F28" s="238"/>
    </row>
    <row r="29" spans="2:6" s="237" customFormat="1" ht="25.5" customHeight="1">
      <c r="B29" s="446" t="s">
        <v>166</v>
      </c>
      <c r="C29" s="447" t="s">
        <v>167</v>
      </c>
      <c r="D29" s="447"/>
      <c r="E29" s="448"/>
      <c r="F29" s="238"/>
    </row>
    <row r="30" spans="2:6" s="237" customFormat="1" ht="25.5">
      <c r="B30" s="446" t="s">
        <v>168</v>
      </c>
      <c r="C30" s="447" t="s">
        <v>169</v>
      </c>
      <c r="D30" s="447"/>
      <c r="E30" s="448"/>
      <c r="F30" s="238"/>
    </row>
    <row r="31" spans="2:6" s="237" customFormat="1" ht="27" customHeight="1">
      <c r="B31" s="446" t="s">
        <v>170</v>
      </c>
      <c r="C31" s="447" t="s">
        <v>171</v>
      </c>
      <c r="D31" s="447"/>
      <c r="E31" s="447"/>
      <c r="F31" s="238"/>
    </row>
    <row r="32" spans="2:6" s="237" customFormat="1" ht="25.5">
      <c r="B32" s="446" t="s">
        <v>172</v>
      </c>
      <c r="C32" s="447" t="s">
        <v>173</v>
      </c>
      <c r="D32" s="447"/>
      <c r="E32" s="448"/>
      <c r="F32" s="238"/>
    </row>
    <row r="33" spans="2:6" s="237" customFormat="1">
      <c r="B33" s="235"/>
      <c r="C33" s="236"/>
      <c r="D33" s="236"/>
      <c r="E33" s="236"/>
      <c r="F33" s="238"/>
    </row>
    <row r="34" spans="2:6" s="237" customFormat="1">
      <c r="B34" s="236"/>
      <c r="C34" s="236"/>
      <c r="D34" s="236"/>
      <c r="E34" s="236"/>
      <c r="F34" s="238"/>
    </row>
    <row r="35" spans="2:6" s="237" customFormat="1">
      <c r="B35" s="236"/>
      <c r="C35" s="236"/>
      <c r="D35" s="236"/>
      <c r="E35" s="236"/>
      <c r="F35" s="238"/>
    </row>
    <row r="36" spans="2:6" s="237" customFormat="1">
      <c r="F36" s="238"/>
    </row>
    <row r="37" spans="2:6" s="237" customFormat="1">
      <c r="E37" s="238"/>
      <c r="F37" s="238"/>
    </row>
    <row r="38" spans="2:6" s="237" customFormat="1">
      <c r="E38" s="238"/>
      <c r="F38" s="238"/>
    </row>
    <row r="39" spans="2:6" s="237" customFormat="1">
      <c r="E39" s="238"/>
      <c r="F39" s="238"/>
    </row>
    <row r="40" spans="2:6" s="237" customFormat="1">
      <c r="E40" s="238"/>
      <c r="F40" s="238"/>
    </row>
    <row r="41" spans="2:6" s="237" customFormat="1">
      <c r="E41" s="238"/>
      <c r="F41" s="238"/>
    </row>
    <row r="42" spans="2:6" s="237" customFormat="1">
      <c r="E42" s="238"/>
      <c r="F42" s="238"/>
    </row>
    <row r="43" spans="2:6" s="237" customFormat="1">
      <c r="B43" s="238"/>
      <c r="E43" s="238"/>
      <c r="F43" s="238"/>
    </row>
    <row r="44" spans="2:6" s="237" customFormat="1">
      <c r="E44" s="238"/>
      <c r="F44" s="238"/>
    </row>
    <row r="45" spans="2:6" s="237" customFormat="1">
      <c r="E45" s="238"/>
      <c r="F45" s="238"/>
    </row>
    <row r="46" spans="2:6" s="237" customFormat="1">
      <c r="E46" s="238"/>
      <c r="F46" s="238"/>
    </row>
    <row r="47" spans="2:6">
      <c r="E47" s="111"/>
      <c r="F47" s="111"/>
    </row>
    <row r="49" spans="3:5" ht="13.5" customHeight="1">
      <c r="C49" s="111"/>
      <c r="D49" s="111"/>
    </row>
    <row r="50" spans="3:5" ht="13.5" customHeight="1">
      <c r="C50" s="111"/>
      <c r="D50" s="111"/>
    </row>
    <row r="51" spans="3:5">
      <c r="C51" s="111"/>
      <c r="D51" s="111"/>
      <c r="E51" s="111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02" r:id="rId4" name="Button 10">
              <controlPr defaultSize="0" print="0" autoFill="0" autoLine="0" autoPict="0" macro="[0]!gotoplay">
                <anchor moveWithCells="1">
                  <from>
                    <xdr:col>4</xdr:col>
                    <xdr:colOff>180975</xdr:colOff>
                    <xdr:row>0</xdr:row>
                    <xdr:rowOff>28575</xdr:rowOff>
                  </from>
                  <to>
                    <xdr:col>4</xdr:col>
                    <xdr:colOff>866775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5" name="Hold Strategy">
              <controlPr defaultSize="0" print="0" autoFill="0" autoLine="0" autoPict="0" macro="[0]!HandStrategy">
                <anchor moveWithCells="1" sizeWithCells="1">
                  <from>
                    <xdr:col>4</xdr:col>
                    <xdr:colOff>28575</xdr:colOff>
                    <xdr:row>2</xdr:row>
                    <xdr:rowOff>9525</xdr:rowOff>
                  </from>
                  <to>
                    <xdr:col>4</xdr:col>
                    <xdr:colOff>1000125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6" name="Button 12">
              <controlPr defaultSize="0" print="0" autoFill="0" autoLine="0" autoPict="0" macro="[0]!PayScehdule">
                <anchor moveWithCells="1" sizeWithCells="1"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4</xdr:col>
                    <xdr:colOff>1000125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5" r:id="rId7" name="Button 13">
              <controlPr defaultSize="0" print="0" autoFill="0" autoLine="0" autoPict="0" macro="[0]!JokerScehdule">
                <anchor moveWithCells="1" sizeWithCells="1">
                  <from>
                    <xdr:col>4</xdr:col>
                    <xdr:colOff>19050</xdr:colOff>
                    <xdr:row>10</xdr:row>
                    <xdr:rowOff>219075</xdr:rowOff>
                  </from>
                  <to>
                    <xdr:col>4</xdr:col>
                    <xdr:colOff>1000125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6" r:id="rId8" name="Button 14">
              <controlPr defaultSize="0" print="0" autoFill="0" autoLine="0" autoPict="0" macro="[0]!Graphical">
                <anchor moveWithCells="1" sizeWithCells="1">
                  <from>
                    <xdr:col>4</xdr:col>
                    <xdr:colOff>19050</xdr:colOff>
                    <xdr:row>11</xdr:row>
                    <xdr:rowOff>19050</xdr:rowOff>
                  </from>
                  <to>
                    <xdr:col>4</xdr:col>
                    <xdr:colOff>981075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9" name="Button 15">
              <controlPr defaultSize="0" print="0" autoFill="0" autoLine="0" autoPict="0" macro="[0]!WinningHands">
                <anchor moveWithCells="1" sizeWithCells="1">
                  <from>
                    <xdr:col>4</xdr:col>
                    <xdr:colOff>19050</xdr:colOff>
                    <xdr:row>13</xdr:row>
                    <xdr:rowOff>0</xdr:rowOff>
                  </from>
                  <to>
                    <xdr:col>4</xdr:col>
                    <xdr:colOff>981075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8" r:id="rId10" name="Button 16">
              <controlPr defaultSize="0" print="0" autoFill="0" autoLine="0" autoPict="0" macro="[0]!HandStrategy">
                <anchor moveWithCells="1" siz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4</xdr:col>
                    <xdr:colOff>990600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9" r:id="rId11" name="Button 17">
              <controlPr defaultSize="0" print="0" autoFill="0" autoLine="0" autoPict="0" macro="[0]!Propability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1000125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0" r:id="rId12" name="Button 18">
              <controlPr defaultSize="0" print="0" autoFill="0" autoLine="0" autoPict="0" macro="[0]!PayScehdule">
                <anchor moveWithCells="1" sizeWithCells="1">
                  <from>
                    <xdr:col>4</xdr:col>
                    <xdr:colOff>19050</xdr:colOff>
                    <xdr:row>25</xdr:row>
                    <xdr:rowOff>0</xdr:rowOff>
                  </from>
                  <to>
                    <xdr:col>4</xdr:col>
                    <xdr:colOff>990600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1" r:id="rId13" name="Button 19">
              <controlPr defaultSize="0" print="0" autoFill="0" autoLine="0" autoPict="0" macro="[0]!ViewNext5">
                <anchor moveWithCells="1" sizeWithCells="1">
                  <from>
                    <xdr:col>4</xdr:col>
                    <xdr:colOff>19050</xdr:colOff>
                    <xdr:row>28</xdr:row>
                    <xdr:rowOff>0</xdr:rowOff>
                  </from>
                  <to>
                    <xdr:col>4</xdr:col>
                    <xdr:colOff>990600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2" r:id="rId14" name="Button 20">
              <controlPr defaultSize="0" print="0" autoFill="0" autoLine="0" autoPict="0" macro="[0]!ViewDeck">
                <anchor moveWithCells="1" sizeWithCells="1">
                  <from>
                    <xdr:col>4</xdr:col>
                    <xdr:colOff>28575</xdr:colOff>
                    <xdr:row>27</xdr:row>
                    <xdr:rowOff>0</xdr:rowOff>
                  </from>
                  <to>
                    <xdr:col>4</xdr:col>
                    <xdr:colOff>990600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9" r:id="rId15" name="Button 27">
              <controlPr defaultSize="0" print="0" autoFill="0" autoLine="0" autoPict="0" macro="[0]!contents">
                <anchor moveWithCells="1" sizeWithCells="1">
                  <from>
                    <xdr:col>10</xdr:col>
                    <xdr:colOff>504825</xdr:colOff>
                    <xdr:row>112</xdr:row>
                    <xdr:rowOff>133350</xdr:rowOff>
                  </from>
                  <to>
                    <xdr:col>12</xdr:col>
                    <xdr:colOff>19050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5" r:id="rId16" name="Button 33">
              <controlPr defaultSize="0" print="0" autoFill="0" autoLine="0" autoPict="0" macro="[0]!contents">
                <anchor moveWithCells="1" sizeWithCells="1">
                  <from>
                    <xdr:col>10</xdr:col>
                    <xdr:colOff>276225</xdr:colOff>
                    <xdr:row>2</xdr:row>
                    <xdr:rowOff>95250</xdr:rowOff>
                  </from>
                  <to>
                    <xdr:col>11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S61"/>
  <sheetViews>
    <sheetView workbookViewId="0">
      <selection activeCell="N17" sqref="N17"/>
    </sheetView>
  </sheetViews>
  <sheetFormatPr defaultRowHeight="12.75"/>
  <cols>
    <col min="1" max="1" width="1.5" customWidth="1"/>
    <col min="2" max="2" width="4.6640625" customWidth="1"/>
    <col min="3" max="3" width="3.5" style="3" customWidth="1"/>
    <col min="4" max="4" width="3.83203125" style="1" customWidth="1"/>
    <col min="5" max="5" width="3.5" style="24" customWidth="1"/>
    <col min="6" max="6" width="5.1640625" customWidth="1"/>
    <col min="7" max="7" width="2.1640625" style="3" customWidth="1"/>
    <col min="8" max="8" width="6.1640625" customWidth="1"/>
    <col min="9" max="9" width="3.83203125" customWidth="1"/>
    <col min="10" max="10" width="3.83203125" style="3" customWidth="1"/>
    <col min="11" max="11" width="3.83203125" customWidth="1"/>
    <col min="12" max="12" width="23.33203125" customWidth="1"/>
    <col min="13" max="13" width="6.33203125" customWidth="1"/>
    <col min="14" max="16" width="5.1640625" customWidth="1"/>
    <col min="17" max="17" width="7.33203125" bestFit="1" customWidth="1"/>
    <col min="18" max="18" width="8.83203125" customWidth="1"/>
    <col min="19" max="19" width="9" customWidth="1"/>
  </cols>
  <sheetData>
    <row r="1" spans="2:19" ht="25.5">
      <c r="B1">
        <v>1</v>
      </c>
      <c r="C1" s="3" t="s">
        <v>95</v>
      </c>
      <c r="D1" s="1" t="s">
        <v>29</v>
      </c>
      <c r="H1" s="113"/>
      <c r="I1" s="113"/>
      <c r="J1" s="113"/>
      <c r="K1" s="113"/>
      <c r="L1" s="114" t="s">
        <v>174</v>
      </c>
      <c r="M1" s="71" t="s">
        <v>175</v>
      </c>
      <c r="N1" s="72" t="s">
        <v>176</v>
      </c>
      <c r="O1" s="72" t="s">
        <v>177</v>
      </c>
      <c r="P1" s="73" t="s">
        <v>178</v>
      </c>
      <c r="Q1" s="248" t="s">
        <v>179</v>
      </c>
      <c r="R1" s="249" t="s">
        <v>180</v>
      </c>
      <c r="S1" s="250"/>
    </row>
    <row r="2" spans="2:19">
      <c r="B2">
        <v>2</v>
      </c>
      <c r="C2" s="3">
        <v>2</v>
      </c>
      <c r="D2" s="1" t="s">
        <v>29</v>
      </c>
      <c r="G2" s="6"/>
      <c r="H2" s="112"/>
      <c r="I2" s="3"/>
      <c r="J2"/>
      <c r="K2" s="95"/>
      <c r="L2" s="84"/>
      <c r="M2" s="67">
        <v>1</v>
      </c>
      <c r="N2" s="68">
        <v>0</v>
      </c>
      <c r="O2" s="68">
        <v>4</v>
      </c>
      <c r="P2" s="65">
        <v>0</v>
      </c>
      <c r="Q2" s="246">
        <v>10</v>
      </c>
      <c r="R2" s="242" t="s">
        <v>181</v>
      </c>
      <c r="S2" s="243">
        <v>0</v>
      </c>
    </row>
    <row r="3" spans="2:19">
      <c r="B3">
        <v>3</v>
      </c>
      <c r="C3" s="3">
        <v>3</v>
      </c>
      <c r="D3" s="1" t="s">
        <v>29</v>
      </c>
      <c r="G3" s="6"/>
      <c r="H3" s="112"/>
      <c r="I3" s="3"/>
      <c r="J3"/>
      <c r="K3" s="95"/>
      <c r="L3" s="82" t="str">
        <f>+Tables!C20</f>
        <v>Draw Poker</v>
      </c>
      <c r="M3" s="67">
        <v>2</v>
      </c>
      <c r="N3" s="68">
        <v>0</v>
      </c>
      <c r="O3" s="68">
        <v>3</v>
      </c>
      <c r="P3" s="65">
        <v>0</v>
      </c>
      <c r="Q3" s="246">
        <v>50</v>
      </c>
      <c r="R3" s="242" t="s">
        <v>182</v>
      </c>
      <c r="S3" s="243">
        <v>0</v>
      </c>
    </row>
    <row r="4" spans="2:19">
      <c r="B4">
        <v>4</v>
      </c>
      <c r="C4" s="3">
        <v>4</v>
      </c>
      <c r="D4" s="1" t="s">
        <v>29</v>
      </c>
      <c r="G4" s="6"/>
      <c r="H4" s="112"/>
      <c r="I4" s="3"/>
      <c r="J4"/>
      <c r="K4" s="95"/>
      <c r="L4" s="82" t="str">
        <f>+Tables!D20</f>
        <v>Bonus Poker</v>
      </c>
      <c r="M4" s="67">
        <v>3</v>
      </c>
      <c r="N4" s="68">
        <v>0</v>
      </c>
      <c r="O4" s="68">
        <v>2</v>
      </c>
      <c r="P4" s="65">
        <v>0</v>
      </c>
      <c r="Q4" s="246">
        <v>100</v>
      </c>
      <c r="R4" s="242" t="s">
        <v>183</v>
      </c>
      <c r="S4" s="243">
        <v>856.5</v>
      </c>
    </row>
    <row r="5" spans="2:19" ht="13.5" thickBot="1">
      <c r="B5">
        <v>5</v>
      </c>
      <c r="C5" s="3">
        <v>5</v>
      </c>
      <c r="D5" s="1" t="s">
        <v>29</v>
      </c>
      <c r="G5" s="6"/>
      <c r="H5" s="112"/>
      <c r="I5" s="3"/>
      <c r="J5"/>
      <c r="K5" s="95"/>
      <c r="L5" s="82" t="str">
        <f>+Tables!E20</f>
        <v>Dbl Bonus</v>
      </c>
      <c r="M5" s="67">
        <v>4</v>
      </c>
      <c r="N5" s="68">
        <v>3</v>
      </c>
      <c r="O5" s="68">
        <v>0</v>
      </c>
      <c r="P5" s="65">
        <v>3</v>
      </c>
      <c r="Q5" s="246">
        <v>200</v>
      </c>
      <c r="R5" s="244" t="s">
        <v>184</v>
      </c>
      <c r="S5" s="245">
        <v>785.25</v>
      </c>
    </row>
    <row r="6" spans="2:19">
      <c r="B6">
        <v>6</v>
      </c>
      <c r="C6" s="3">
        <v>6</v>
      </c>
      <c r="D6" s="1" t="s">
        <v>29</v>
      </c>
      <c r="G6" s="6"/>
      <c r="H6" s="112"/>
      <c r="I6" s="3"/>
      <c r="J6"/>
      <c r="K6" s="95"/>
      <c r="L6" s="82" t="str">
        <f>+Tables!F20</f>
        <v>Dbl Dbl Bonus</v>
      </c>
      <c r="M6" s="67">
        <v>5</v>
      </c>
      <c r="N6" s="68">
        <v>3</v>
      </c>
      <c r="O6" s="68">
        <v>4</v>
      </c>
      <c r="P6" s="65">
        <v>3</v>
      </c>
      <c r="Q6" s="246">
        <v>300</v>
      </c>
      <c r="R6" s="133" t="s">
        <v>185</v>
      </c>
      <c r="S6">
        <v>-4143</v>
      </c>
    </row>
    <row r="7" spans="2:19">
      <c r="B7">
        <v>7</v>
      </c>
      <c r="C7" s="3">
        <v>7</v>
      </c>
      <c r="D7" s="23" t="s">
        <v>29</v>
      </c>
      <c r="H7" s="112"/>
      <c r="I7" s="3"/>
      <c r="J7"/>
      <c r="K7" s="95"/>
      <c r="L7" s="82" t="str">
        <f>+Tables!G20</f>
        <v>Dbl Jackpot Bonus</v>
      </c>
      <c r="M7" s="67">
        <v>6</v>
      </c>
      <c r="N7" s="68">
        <v>2</v>
      </c>
      <c r="O7" s="68">
        <v>0</v>
      </c>
      <c r="P7" s="65">
        <v>2</v>
      </c>
      <c r="Q7" s="246">
        <v>400</v>
      </c>
    </row>
    <row r="8" spans="2:19">
      <c r="B8">
        <v>8</v>
      </c>
      <c r="C8" s="3">
        <v>8</v>
      </c>
      <c r="D8" s="1" t="s">
        <v>29</v>
      </c>
      <c r="H8" s="112"/>
      <c r="I8" s="3"/>
      <c r="J8"/>
      <c r="K8" s="95"/>
      <c r="L8" s="82" t="str">
        <f>+Tables!H20</f>
        <v>Dbl Dbl Jackpot Bonus</v>
      </c>
      <c r="M8" s="67">
        <v>7</v>
      </c>
      <c r="N8" s="68">
        <v>2</v>
      </c>
      <c r="O8" s="68">
        <v>5</v>
      </c>
      <c r="P8" s="65">
        <v>2</v>
      </c>
      <c r="Q8" s="246">
        <v>500</v>
      </c>
    </row>
    <row r="9" spans="2:19">
      <c r="B9">
        <v>9</v>
      </c>
      <c r="C9" s="3">
        <v>9</v>
      </c>
      <c r="D9" s="1" t="s">
        <v>29</v>
      </c>
      <c r="H9" s="112"/>
      <c r="I9" s="3"/>
      <c r="J9"/>
      <c r="K9" s="95"/>
      <c r="L9" s="136" t="s">
        <v>0</v>
      </c>
      <c r="M9" s="67">
        <v>8</v>
      </c>
      <c r="N9" s="68">
        <v>2</v>
      </c>
      <c r="O9" s="68">
        <v>6</v>
      </c>
      <c r="P9" s="65">
        <v>2</v>
      </c>
      <c r="Q9" s="246">
        <v>1000</v>
      </c>
    </row>
    <row r="10" spans="2:19">
      <c r="B10">
        <v>10</v>
      </c>
      <c r="C10" s="3">
        <v>10</v>
      </c>
      <c r="D10" s="1" t="s">
        <v>29</v>
      </c>
      <c r="H10" s="112"/>
      <c r="I10" s="3"/>
      <c r="J10"/>
      <c r="K10" s="95"/>
      <c r="M10" s="67">
        <v>9</v>
      </c>
      <c r="N10" s="68">
        <v>1</v>
      </c>
      <c r="O10" s="68">
        <v>4</v>
      </c>
      <c r="P10" s="65">
        <v>1</v>
      </c>
      <c r="Q10" s="246">
        <v>2000</v>
      </c>
    </row>
    <row r="11" spans="2:19" ht="13.5" thickBot="1">
      <c r="B11">
        <v>11</v>
      </c>
      <c r="C11" s="3" t="s">
        <v>186</v>
      </c>
      <c r="D11" s="1" t="s">
        <v>29</v>
      </c>
      <c r="H11" s="112"/>
      <c r="I11" s="3"/>
      <c r="J11"/>
      <c r="K11" s="95"/>
      <c r="M11" s="69">
        <v>10</v>
      </c>
      <c r="N11" s="70">
        <v>1</v>
      </c>
      <c r="O11" s="70">
        <v>6</v>
      </c>
      <c r="P11" s="66">
        <v>1</v>
      </c>
      <c r="Q11" s="246">
        <v>3000</v>
      </c>
    </row>
    <row r="12" spans="2:19">
      <c r="B12">
        <v>12</v>
      </c>
      <c r="C12" s="3" t="s">
        <v>94</v>
      </c>
      <c r="D12" s="1" t="s">
        <v>29</v>
      </c>
      <c r="H12" s="112"/>
      <c r="I12" s="3"/>
      <c r="J12"/>
      <c r="K12" s="95"/>
      <c r="Q12" s="246">
        <v>4000</v>
      </c>
    </row>
    <row r="13" spans="2:19">
      <c r="B13">
        <v>13</v>
      </c>
      <c r="C13" s="3" t="s">
        <v>97</v>
      </c>
      <c r="D13" s="1" t="s">
        <v>29</v>
      </c>
      <c r="H13" s="112"/>
      <c r="I13" s="3"/>
      <c r="J13"/>
      <c r="Q13" s="246">
        <v>5000</v>
      </c>
    </row>
    <row r="14" spans="2:19">
      <c r="B14">
        <v>14</v>
      </c>
      <c r="C14" s="3" t="s">
        <v>95</v>
      </c>
      <c r="D14" s="2" t="s">
        <v>30</v>
      </c>
      <c r="H14" s="112"/>
      <c r="I14" s="3"/>
      <c r="J14"/>
      <c r="K14" s="95"/>
      <c r="Q14" s="246">
        <v>10000</v>
      </c>
    </row>
    <row r="15" spans="2:19" ht="13.5" thickBot="1">
      <c r="B15">
        <v>15</v>
      </c>
      <c r="C15" s="3">
        <v>2</v>
      </c>
      <c r="D15" s="2" t="s">
        <v>30</v>
      </c>
      <c r="H15" s="112"/>
      <c r="I15" s="3"/>
      <c r="J15"/>
      <c r="K15" s="95"/>
      <c r="Q15" s="247">
        <v>50000</v>
      </c>
    </row>
    <row r="16" spans="2:19">
      <c r="B16">
        <v>16</v>
      </c>
      <c r="C16" s="3">
        <v>3</v>
      </c>
      <c r="D16" s="2" t="s">
        <v>30</v>
      </c>
      <c r="H16" s="112"/>
      <c r="I16" s="3"/>
      <c r="J16"/>
      <c r="K16" s="95"/>
    </row>
    <row r="17" spans="2:13">
      <c r="B17">
        <v>17</v>
      </c>
      <c r="C17" s="3">
        <v>4</v>
      </c>
      <c r="D17" s="2" t="s">
        <v>30</v>
      </c>
      <c r="H17" s="112"/>
      <c r="I17" s="3"/>
      <c r="J17"/>
      <c r="K17" s="95"/>
      <c r="L17" s="133"/>
      <c r="M17" s="133"/>
    </row>
    <row r="18" spans="2:13">
      <c r="B18">
        <v>18</v>
      </c>
      <c r="C18" s="3">
        <v>5</v>
      </c>
      <c r="D18" s="2" t="s">
        <v>30</v>
      </c>
      <c r="H18" s="112"/>
      <c r="I18" s="3"/>
      <c r="J18"/>
      <c r="L18" s="112"/>
      <c r="M18" s="112"/>
    </row>
    <row r="19" spans="2:13">
      <c r="B19">
        <v>19</v>
      </c>
      <c r="C19" s="3">
        <v>6</v>
      </c>
      <c r="D19" s="2" t="s">
        <v>30</v>
      </c>
      <c r="H19" s="112"/>
      <c r="I19" s="3"/>
      <c r="J19"/>
      <c r="L19" s="112"/>
      <c r="M19" s="112"/>
    </row>
    <row r="20" spans="2:13">
      <c r="B20">
        <v>20</v>
      </c>
      <c r="C20" s="3">
        <v>7</v>
      </c>
      <c r="D20" s="2" t="s">
        <v>30</v>
      </c>
      <c r="H20" s="112"/>
      <c r="I20" s="3"/>
      <c r="J20"/>
      <c r="K20" s="95"/>
    </row>
    <row r="21" spans="2:13">
      <c r="B21">
        <v>21</v>
      </c>
      <c r="C21" s="3">
        <v>8</v>
      </c>
      <c r="D21" s="2" t="s">
        <v>30</v>
      </c>
      <c r="H21" s="112"/>
      <c r="I21" s="3"/>
      <c r="J21"/>
    </row>
    <row r="22" spans="2:13">
      <c r="B22">
        <v>22</v>
      </c>
      <c r="C22" s="3">
        <v>9</v>
      </c>
      <c r="D22" s="2" t="s">
        <v>30</v>
      </c>
      <c r="H22" s="112"/>
      <c r="I22" s="3"/>
      <c r="J22"/>
    </row>
    <row r="23" spans="2:13">
      <c r="B23">
        <v>23</v>
      </c>
      <c r="C23" s="3">
        <v>10</v>
      </c>
      <c r="D23" s="2" t="s">
        <v>30</v>
      </c>
      <c r="H23" s="112"/>
      <c r="I23" s="3"/>
      <c r="J23"/>
      <c r="K23" s="95"/>
    </row>
    <row r="24" spans="2:13">
      <c r="B24">
        <v>24</v>
      </c>
      <c r="C24" s="3" t="s">
        <v>186</v>
      </c>
      <c r="D24" s="2" t="s">
        <v>30</v>
      </c>
      <c r="H24" s="112"/>
      <c r="I24" s="3"/>
      <c r="J24"/>
    </row>
    <row r="25" spans="2:13">
      <c r="B25">
        <v>25</v>
      </c>
      <c r="C25" s="3" t="s">
        <v>94</v>
      </c>
      <c r="D25" s="2" t="s">
        <v>30</v>
      </c>
      <c r="H25" s="112"/>
      <c r="I25" s="3"/>
      <c r="J25"/>
    </row>
    <row r="26" spans="2:13">
      <c r="B26">
        <v>26</v>
      </c>
      <c r="C26" s="3" t="s">
        <v>97</v>
      </c>
      <c r="D26" s="2" t="s">
        <v>30</v>
      </c>
      <c r="H26" s="112"/>
      <c r="I26" s="3"/>
      <c r="J26"/>
      <c r="K26" s="95"/>
    </row>
    <row r="27" spans="2:13">
      <c r="B27">
        <v>27</v>
      </c>
      <c r="C27" s="3" t="s">
        <v>95</v>
      </c>
      <c r="D27" s="2" t="s">
        <v>31</v>
      </c>
      <c r="J27"/>
      <c r="K27" s="95"/>
    </row>
    <row r="28" spans="2:13">
      <c r="B28">
        <v>28</v>
      </c>
      <c r="C28" s="3">
        <v>2</v>
      </c>
      <c r="D28" s="2" t="s">
        <v>31</v>
      </c>
    </row>
    <row r="29" spans="2:13">
      <c r="B29">
        <v>29</v>
      </c>
      <c r="C29" s="3">
        <v>3</v>
      </c>
      <c r="D29" s="2" t="s">
        <v>31</v>
      </c>
    </row>
    <row r="30" spans="2:13">
      <c r="B30">
        <v>30</v>
      </c>
      <c r="C30" s="3">
        <v>4</v>
      </c>
      <c r="D30" s="2" t="s">
        <v>31</v>
      </c>
    </row>
    <row r="31" spans="2:13">
      <c r="B31">
        <v>31</v>
      </c>
      <c r="C31" s="3">
        <v>5</v>
      </c>
      <c r="D31" s="2" t="s">
        <v>31</v>
      </c>
    </row>
    <row r="32" spans="2:13">
      <c r="B32">
        <v>32</v>
      </c>
      <c r="C32" s="3">
        <v>6</v>
      </c>
      <c r="D32" s="2" t="s">
        <v>31</v>
      </c>
    </row>
    <row r="33" spans="2:8">
      <c r="B33">
        <v>33</v>
      </c>
      <c r="C33" s="3">
        <v>7</v>
      </c>
      <c r="D33" s="2" t="s">
        <v>31</v>
      </c>
    </row>
    <row r="34" spans="2:8">
      <c r="B34">
        <v>34</v>
      </c>
      <c r="C34" s="3">
        <v>8</v>
      </c>
      <c r="D34" s="2" t="s">
        <v>31</v>
      </c>
    </row>
    <row r="35" spans="2:8">
      <c r="B35">
        <v>35</v>
      </c>
      <c r="C35" s="3">
        <v>9</v>
      </c>
      <c r="D35" s="2" t="s">
        <v>31</v>
      </c>
    </row>
    <row r="36" spans="2:8">
      <c r="B36">
        <v>36</v>
      </c>
      <c r="C36" s="3">
        <v>10</v>
      </c>
      <c r="D36" s="2" t="s">
        <v>31</v>
      </c>
    </row>
    <row r="37" spans="2:8">
      <c r="B37">
        <v>37</v>
      </c>
      <c r="C37" s="3" t="s">
        <v>186</v>
      </c>
      <c r="D37" s="2" t="s">
        <v>31</v>
      </c>
    </row>
    <row r="38" spans="2:8">
      <c r="B38">
        <v>38</v>
      </c>
      <c r="C38" s="3" t="s">
        <v>94</v>
      </c>
      <c r="D38" s="2" t="s">
        <v>31</v>
      </c>
    </row>
    <row r="39" spans="2:8">
      <c r="B39">
        <v>39</v>
      </c>
      <c r="C39" s="3" t="s">
        <v>97</v>
      </c>
      <c r="D39" s="2" t="s">
        <v>31</v>
      </c>
    </row>
    <row r="40" spans="2:8">
      <c r="B40">
        <v>40</v>
      </c>
      <c r="C40" s="3" t="s">
        <v>95</v>
      </c>
      <c r="D40" s="1" t="s">
        <v>96</v>
      </c>
    </row>
    <row r="41" spans="2:8">
      <c r="B41">
        <v>41</v>
      </c>
      <c r="C41" s="3">
        <v>2</v>
      </c>
      <c r="D41" s="1" t="s">
        <v>96</v>
      </c>
      <c r="H41" s="7"/>
    </row>
    <row r="42" spans="2:8">
      <c r="B42">
        <v>42</v>
      </c>
      <c r="C42" s="3">
        <v>3</v>
      </c>
      <c r="D42" s="1" t="s">
        <v>96</v>
      </c>
    </row>
    <row r="43" spans="2:8">
      <c r="B43">
        <v>43</v>
      </c>
      <c r="C43" s="3">
        <v>4</v>
      </c>
      <c r="D43" s="1" t="s">
        <v>96</v>
      </c>
    </row>
    <row r="44" spans="2:8">
      <c r="B44">
        <v>44</v>
      </c>
      <c r="C44" s="3">
        <v>5</v>
      </c>
      <c r="D44" s="1" t="s">
        <v>96</v>
      </c>
    </row>
    <row r="45" spans="2:8">
      <c r="B45">
        <v>45</v>
      </c>
      <c r="C45" s="3">
        <v>6</v>
      </c>
      <c r="D45" s="1" t="s">
        <v>96</v>
      </c>
    </row>
    <row r="46" spans="2:8">
      <c r="B46">
        <v>46</v>
      </c>
      <c r="C46" s="3">
        <v>7</v>
      </c>
      <c r="D46" s="1" t="s">
        <v>96</v>
      </c>
    </row>
    <row r="47" spans="2:8">
      <c r="B47">
        <v>47</v>
      </c>
      <c r="C47" s="3">
        <v>8</v>
      </c>
      <c r="D47" s="1" t="s">
        <v>96</v>
      </c>
    </row>
    <row r="48" spans="2:8">
      <c r="B48">
        <v>48</v>
      </c>
      <c r="C48" s="3">
        <v>9</v>
      </c>
      <c r="D48" s="1" t="s">
        <v>96</v>
      </c>
    </row>
    <row r="49" spans="2:12">
      <c r="B49">
        <v>49</v>
      </c>
      <c r="C49" s="3">
        <v>10</v>
      </c>
      <c r="D49" s="1" t="s">
        <v>96</v>
      </c>
    </row>
    <row r="50" spans="2:12">
      <c r="B50">
        <v>50</v>
      </c>
      <c r="C50" s="3" t="s">
        <v>186</v>
      </c>
      <c r="D50" s="1" t="s">
        <v>96</v>
      </c>
    </row>
    <row r="51" spans="2:12">
      <c r="B51">
        <v>51</v>
      </c>
      <c r="C51" s="3" t="s">
        <v>94</v>
      </c>
      <c r="D51" s="1" t="s">
        <v>96</v>
      </c>
    </row>
    <row r="52" spans="2:12">
      <c r="B52">
        <v>52</v>
      </c>
      <c r="C52" s="3" t="s">
        <v>97</v>
      </c>
      <c r="D52" s="1" t="s">
        <v>96</v>
      </c>
      <c r="E52" s="1"/>
    </row>
    <row r="53" spans="2:12">
      <c r="B53">
        <v>53</v>
      </c>
      <c r="C53" s="3">
        <v>-15</v>
      </c>
      <c r="D53" s="111" t="s">
        <v>186</v>
      </c>
      <c r="L53" s="5"/>
    </row>
    <row r="60" spans="2:12">
      <c r="L60" s="5"/>
    </row>
    <row r="61" spans="2:12">
      <c r="L61" s="5"/>
    </row>
  </sheetData>
  <phoneticPr fontId="2" type="noConversion"/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I2:CH70"/>
  <sheetViews>
    <sheetView workbookViewId="0">
      <selection activeCell="N15" sqref="N15"/>
    </sheetView>
  </sheetViews>
  <sheetFormatPr defaultRowHeight="12.75"/>
  <cols>
    <col min="7" max="7" width="9.33203125" customWidth="1"/>
    <col min="10" max="10" width="9.1640625" customWidth="1"/>
    <col min="11" max="11" width="1.1640625" customWidth="1"/>
    <col min="12" max="15" width="4.83203125" customWidth="1"/>
    <col min="16" max="16" width="4" customWidth="1"/>
    <col min="17" max="17" width="6" customWidth="1"/>
    <col min="18" max="18" width="3.33203125" customWidth="1"/>
    <col min="19" max="19" width="1.33203125" style="56" customWidth="1"/>
    <col min="20" max="20" width="4.1640625" style="323" customWidth="1"/>
    <col min="21" max="23" width="3.5" style="323" customWidth="1"/>
    <col min="24" max="24" width="4.1640625" style="323" customWidth="1"/>
    <col min="25" max="25" width="1.33203125" style="323" customWidth="1"/>
    <col min="26" max="26" width="4.1640625" style="323" customWidth="1"/>
    <col min="27" max="29" width="3.5" style="323" customWidth="1"/>
    <col min="30" max="30" width="4.1640625" style="323" customWidth="1"/>
    <col min="31" max="31" width="1.33203125" style="323" customWidth="1"/>
    <col min="32" max="32" width="4.1640625" style="323" customWidth="1"/>
    <col min="33" max="35" width="3.5" style="323" customWidth="1"/>
    <col min="36" max="36" width="4.1640625" style="323" customWidth="1"/>
    <col min="37" max="37" width="1.33203125" style="323" customWidth="1"/>
    <col min="38" max="38" width="4.1640625" style="323" customWidth="1"/>
    <col min="39" max="41" width="3.5" style="323" customWidth="1"/>
    <col min="42" max="42" width="4.1640625" style="323" customWidth="1"/>
    <col min="43" max="43" width="1.1640625" style="56" customWidth="1"/>
    <col min="44" max="44" width="4.1640625" style="323" customWidth="1"/>
    <col min="45" max="47" width="3.5" style="323" customWidth="1"/>
    <col min="48" max="48" width="4.1640625" style="323" customWidth="1"/>
    <col min="49" max="49" width="1.33203125" style="323" customWidth="1"/>
    <col min="50" max="50" width="4.1640625" style="323" customWidth="1"/>
    <col min="51" max="53" width="3.5" style="323" customWidth="1"/>
    <col min="54" max="54" width="4.1640625" style="323" customWidth="1"/>
    <col min="55" max="55" width="1.33203125" style="323" customWidth="1"/>
    <col min="56" max="56" width="4.1640625" style="323" customWidth="1"/>
    <col min="57" max="59" width="3.5" style="323" customWidth="1"/>
    <col min="60" max="60" width="4.1640625" style="323" customWidth="1"/>
    <col min="61" max="61" width="1.33203125" style="323" customWidth="1"/>
    <col min="62" max="62" width="4.1640625" style="323" customWidth="1"/>
    <col min="63" max="65" width="3.5" style="323" customWidth="1"/>
    <col min="66" max="66" width="4.1640625" style="323" customWidth="1"/>
    <col min="67" max="67" width="1.1640625" style="56" customWidth="1"/>
    <col min="68" max="68" width="4.1640625" style="323" customWidth="1"/>
    <col min="69" max="71" width="3.5" style="323" customWidth="1"/>
    <col min="72" max="72" width="4.1640625" style="323" customWidth="1"/>
    <col min="73" max="73" width="1.33203125" style="323" customWidth="1"/>
    <col min="74" max="74" width="4.1640625" style="323" customWidth="1"/>
    <col min="75" max="77" width="3.5" style="323" customWidth="1"/>
    <col min="78" max="78" width="4.1640625" style="323" customWidth="1"/>
    <col min="79" max="79" width="1.33203125" style="323" customWidth="1"/>
    <col min="80" max="80" width="4.1640625" style="323" customWidth="1"/>
    <col min="81" max="83" width="3.5" style="323" customWidth="1"/>
    <col min="84" max="84" width="4.1640625" style="323" customWidth="1"/>
    <col min="85" max="85" width="1.33203125" style="323" customWidth="1"/>
    <col min="86" max="86" width="9.33203125" style="56"/>
  </cols>
  <sheetData>
    <row r="2" spans="13:85" ht="18">
      <c r="W2" s="369"/>
      <c r="X2" s="370"/>
      <c r="Y2" s="371"/>
      <c r="Z2" s="371"/>
      <c r="AA2" s="371"/>
      <c r="AB2" s="371"/>
      <c r="AC2" s="371"/>
      <c r="AD2" s="371"/>
      <c r="AE2" s="371"/>
      <c r="AF2" s="371"/>
      <c r="AG2" s="371"/>
      <c r="AH2" s="370"/>
      <c r="AI2" s="372"/>
      <c r="AU2" s="369"/>
      <c r="AV2" s="370"/>
      <c r="AW2" s="371"/>
      <c r="AX2" s="371"/>
      <c r="AY2" s="371"/>
      <c r="AZ2" s="371"/>
      <c r="BA2" s="371"/>
      <c r="BB2" s="371"/>
      <c r="BC2" s="371"/>
      <c r="BD2" s="371"/>
      <c r="BE2" s="371"/>
      <c r="BF2" s="370"/>
      <c r="BG2" s="372"/>
      <c r="BS2" s="369"/>
      <c r="BT2" s="370"/>
      <c r="BU2" s="371"/>
      <c r="BV2" s="371"/>
      <c r="BW2" s="371"/>
      <c r="BX2" s="371"/>
      <c r="BY2" s="371"/>
      <c r="BZ2" s="371"/>
      <c r="CA2" s="371"/>
      <c r="CB2" s="371"/>
      <c r="CC2" s="371"/>
      <c r="CD2" s="370"/>
      <c r="CE2" s="372"/>
    </row>
    <row r="3" spans="13:85">
      <c r="W3" s="324"/>
      <c r="X3" s="324"/>
      <c r="Y3" s="325"/>
      <c r="Z3" s="324"/>
      <c r="AA3" s="325"/>
      <c r="AB3" s="325"/>
      <c r="AC3" s="325"/>
      <c r="AD3" s="325"/>
      <c r="AE3" s="325"/>
      <c r="AF3" s="326"/>
      <c r="AG3" s="373"/>
      <c r="AH3" s="56"/>
      <c r="AI3" s="56"/>
      <c r="AJ3" s="327"/>
      <c r="AK3" s="327"/>
      <c r="AL3" s="328"/>
      <c r="AM3" s="329"/>
      <c r="AN3" s="330"/>
      <c r="AO3" s="331"/>
      <c r="AP3" s="56"/>
      <c r="AU3" s="324"/>
      <c r="AV3" s="324"/>
      <c r="AW3" s="325"/>
      <c r="AX3" s="324"/>
      <c r="AY3" s="325"/>
      <c r="AZ3" s="325"/>
      <c r="BA3" s="325"/>
      <c r="BB3" s="325"/>
      <c r="BC3" s="325"/>
      <c r="BD3" s="326"/>
      <c r="BE3" s="373"/>
      <c r="BF3" s="56"/>
      <c r="BG3" s="56"/>
      <c r="BH3" s="327"/>
      <c r="BI3" s="327"/>
      <c r="BJ3" s="328"/>
      <c r="BK3" s="329"/>
      <c r="BL3" s="330"/>
      <c r="BM3" s="331"/>
      <c r="BN3" s="56"/>
      <c r="BS3" s="324"/>
      <c r="BT3" s="324"/>
      <c r="BU3" s="325"/>
      <c r="BV3" s="324"/>
      <c r="BW3" s="325"/>
      <c r="BX3" s="325"/>
      <c r="BY3" s="325"/>
      <c r="BZ3" s="325"/>
      <c r="CA3" s="325"/>
      <c r="CB3" s="326"/>
      <c r="CC3" s="373"/>
      <c r="CD3" s="56"/>
      <c r="CE3" s="56"/>
      <c r="CF3" s="327"/>
      <c r="CG3" s="327"/>
    </row>
    <row r="4" spans="13:85">
      <c r="W4" s="324"/>
      <c r="X4" s="324"/>
      <c r="Y4" s="325"/>
      <c r="Z4" s="324"/>
      <c r="AA4" s="325"/>
      <c r="AB4" s="325"/>
      <c r="AC4" s="325"/>
      <c r="AD4" s="325"/>
      <c r="AE4" s="325"/>
      <c r="AF4" s="332"/>
      <c r="AG4" s="340"/>
      <c r="AH4" s="56"/>
      <c r="AI4" s="327"/>
      <c r="AL4" s="328"/>
      <c r="AM4" s="329"/>
      <c r="AN4" s="330"/>
      <c r="AO4" s="333"/>
      <c r="AP4" s="374"/>
      <c r="AU4" s="324"/>
      <c r="AV4" s="324"/>
      <c r="AW4" s="325"/>
      <c r="AX4" s="324"/>
      <c r="AY4" s="325"/>
      <c r="AZ4" s="325"/>
      <c r="BA4" s="325"/>
      <c r="BB4" s="325"/>
      <c r="BC4" s="325"/>
      <c r="BD4" s="332"/>
      <c r="BE4" s="340"/>
      <c r="BF4" s="56"/>
      <c r="BG4" s="327"/>
      <c r="BJ4" s="328"/>
      <c r="BK4" s="329"/>
      <c r="BL4" s="330"/>
      <c r="BM4" s="333"/>
      <c r="BN4" s="374"/>
      <c r="BS4" s="324"/>
      <c r="BT4" s="324"/>
      <c r="BU4" s="325"/>
      <c r="BV4" s="324"/>
      <c r="BW4" s="325"/>
      <c r="BX4" s="325"/>
      <c r="BY4" s="325"/>
      <c r="BZ4" s="325"/>
      <c r="CA4" s="325"/>
      <c r="CB4" s="332"/>
      <c r="CC4" s="340"/>
      <c r="CD4" s="56"/>
      <c r="CE4" s="327"/>
    </row>
    <row r="5" spans="13:85">
      <c r="W5" s="334"/>
      <c r="X5" s="334"/>
      <c r="Y5" s="325"/>
      <c r="Z5" s="334"/>
      <c r="AA5" s="325"/>
      <c r="AB5" s="325"/>
      <c r="AC5" s="325"/>
      <c r="AD5" s="325"/>
      <c r="AE5" s="325"/>
      <c r="AF5" s="332"/>
      <c r="AG5" s="375"/>
      <c r="AH5" s="56"/>
      <c r="AI5" s="376"/>
      <c r="AK5" s="335"/>
      <c r="AL5" s="336"/>
      <c r="AM5" s="329"/>
      <c r="AN5" s="330"/>
      <c r="AP5" s="56"/>
      <c r="AU5" s="334"/>
      <c r="AV5" s="334"/>
      <c r="AW5" s="325"/>
      <c r="AX5" s="334"/>
      <c r="AY5" s="325"/>
      <c r="AZ5" s="325"/>
      <c r="BA5" s="325"/>
      <c r="BB5" s="325"/>
      <c r="BC5" s="325"/>
      <c r="BD5" s="332"/>
      <c r="BE5" s="375"/>
      <c r="BF5" s="56"/>
      <c r="BG5" s="376"/>
      <c r="BI5" s="335"/>
      <c r="BJ5" s="336"/>
      <c r="BK5" s="329"/>
      <c r="BL5" s="330"/>
      <c r="BN5" s="56"/>
      <c r="BS5" s="334"/>
      <c r="BT5" s="334"/>
      <c r="BU5" s="325"/>
      <c r="BV5" s="334"/>
      <c r="BW5" s="325"/>
      <c r="BX5" s="325"/>
      <c r="BY5" s="325"/>
      <c r="BZ5" s="325"/>
      <c r="CA5" s="325"/>
      <c r="CB5" s="332"/>
      <c r="CC5" s="375"/>
      <c r="CD5" s="56"/>
      <c r="CE5" s="376"/>
      <c r="CG5" s="335"/>
    </row>
    <row r="6" spans="13:85">
      <c r="W6" s="324"/>
      <c r="X6" s="324"/>
      <c r="Y6" s="325"/>
      <c r="Z6" s="324"/>
      <c r="AA6" s="325"/>
      <c r="AB6" s="325"/>
      <c r="AC6" s="325"/>
      <c r="AD6" s="325"/>
      <c r="AE6" s="325"/>
      <c r="AF6" s="337"/>
      <c r="AG6" s="340"/>
      <c r="AH6" s="56"/>
      <c r="AI6" s="376"/>
      <c r="AL6" s="338"/>
      <c r="AM6" s="329"/>
      <c r="AN6" s="339"/>
      <c r="AP6" s="56"/>
      <c r="AU6" s="324"/>
      <c r="AV6" s="324"/>
      <c r="AW6" s="325"/>
      <c r="AX6" s="324"/>
      <c r="AY6" s="325"/>
      <c r="AZ6" s="325"/>
      <c r="BA6" s="325"/>
      <c r="BB6" s="325"/>
      <c r="BC6" s="325"/>
      <c r="BD6" s="337"/>
      <c r="BE6" s="340"/>
      <c r="BF6" s="56"/>
      <c r="BG6" s="376"/>
      <c r="BJ6" s="338"/>
      <c r="BK6" s="329"/>
      <c r="BL6" s="339"/>
      <c r="BN6" s="56"/>
      <c r="BS6" s="324"/>
      <c r="BT6" s="324"/>
      <c r="BU6" s="325"/>
      <c r="BV6" s="324"/>
      <c r="BW6" s="325"/>
      <c r="BX6" s="325"/>
      <c r="BY6" s="325"/>
      <c r="BZ6" s="325"/>
      <c r="CA6" s="325"/>
      <c r="CB6" s="337"/>
      <c r="CC6" s="340"/>
      <c r="CD6" s="56"/>
      <c r="CE6" s="376"/>
    </row>
    <row r="7" spans="13:85">
      <c r="W7" s="324"/>
      <c r="X7" s="324"/>
      <c r="Y7" s="325"/>
      <c r="Z7" s="324"/>
      <c r="AA7" s="325"/>
      <c r="AB7" s="325"/>
      <c r="AC7" s="325"/>
      <c r="AD7" s="325"/>
      <c r="AE7" s="325"/>
      <c r="AF7" s="337"/>
      <c r="AG7" s="340"/>
      <c r="AH7" s="340"/>
      <c r="AU7" s="324"/>
      <c r="AV7" s="324"/>
      <c r="AW7" s="325"/>
      <c r="AX7" s="324"/>
      <c r="AY7" s="325"/>
      <c r="AZ7" s="325"/>
      <c r="BA7" s="325"/>
      <c r="BB7" s="325"/>
      <c r="BC7" s="325"/>
      <c r="BD7" s="337"/>
      <c r="BE7" s="340"/>
      <c r="BF7" s="340"/>
      <c r="BS7" s="324"/>
      <c r="BT7" s="324"/>
      <c r="BU7" s="325"/>
      <c r="BV7" s="324"/>
      <c r="BW7" s="325"/>
      <c r="BX7" s="325"/>
      <c r="BY7" s="325"/>
      <c r="BZ7" s="325"/>
      <c r="CA7" s="325"/>
      <c r="CB7" s="337"/>
      <c r="CC7" s="340"/>
      <c r="CD7" s="340"/>
    </row>
    <row r="8" spans="13:85">
      <c r="W8" s="324"/>
      <c r="X8" s="324"/>
      <c r="Y8" s="325"/>
      <c r="Z8" s="324"/>
      <c r="AA8" s="325"/>
      <c r="AB8" s="325"/>
      <c r="AC8" s="325"/>
      <c r="AD8" s="325"/>
      <c r="AE8" s="325"/>
      <c r="AF8" s="337"/>
      <c r="AG8" s="340"/>
      <c r="AH8" s="340"/>
      <c r="AU8" s="324"/>
      <c r="AV8" s="324"/>
      <c r="AW8" s="325"/>
      <c r="AX8" s="324"/>
      <c r="AY8" s="325"/>
      <c r="AZ8" s="325"/>
      <c r="BA8" s="325"/>
      <c r="BB8" s="325"/>
      <c r="BC8" s="325"/>
      <c r="BD8" s="337"/>
      <c r="BE8" s="340"/>
      <c r="BF8" s="340"/>
      <c r="BS8" s="324"/>
      <c r="BT8" s="324"/>
      <c r="BU8" s="325"/>
      <c r="BV8" s="324"/>
      <c r="BW8" s="325"/>
      <c r="BX8" s="325"/>
      <c r="BY8" s="325"/>
      <c r="BZ8" s="325"/>
      <c r="CA8" s="325"/>
      <c r="CB8" s="337"/>
      <c r="CC8" s="340"/>
      <c r="CD8" s="340"/>
    </row>
    <row r="9" spans="13:85">
      <c r="T9" s="341"/>
      <c r="W9" s="324"/>
      <c r="X9" s="324"/>
      <c r="Y9" s="325"/>
      <c r="Z9" s="324"/>
      <c r="AA9" s="325"/>
      <c r="AB9" s="325"/>
      <c r="AC9" s="325"/>
      <c r="AD9" s="325"/>
      <c r="AE9" s="325"/>
      <c r="AF9" s="337"/>
      <c r="AG9" s="340"/>
      <c r="AH9" s="340"/>
      <c r="AR9" s="341"/>
      <c r="AU9" s="324"/>
      <c r="AV9" s="324"/>
      <c r="AW9" s="325"/>
      <c r="AX9" s="324"/>
      <c r="AY9" s="325"/>
      <c r="AZ9" s="325"/>
      <c r="BA9" s="325"/>
      <c r="BB9" s="325"/>
      <c r="BC9" s="325"/>
      <c r="BD9" s="337"/>
      <c r="BE9" s="340"/>
      <c r="BF9" s="340"/>
      <c r="BP9" s="341"/>
      <c r="BS9" s="324"/>
      <c r="BT9" s="324"/>
      <c r="BU9" s="325"/>
      <c r="BV9" s="324"/>
      <c r="BW9" s="325"/>
      <c r="BX9" s="325"/>
      <c r="BY9" s="325"/>
      <c r="BZ9" s="325"/>
      <c r="CA9" s="325"/>
      <c r="CB9" s="337"/>
      <c r="CC9" s="340"/>
      <c r="CD9" s="340"/>
    </row>
    <row r="10" spans="13:85" ht="5.25" customHeight="1">
      <c r="S10" s="323"/>
      <c r="W10" s="324"/>
      <c r="X10" s="324"/>
      <c r="Y10" s="325"/>
      <c r="Z10" s="324"/>
      <c r="AA10" s="325"/>
      <c r="AB10" s="325"/>
      <c r="AC10" s="325"/>
      <c r="AD10" s="325"/>
      <c r="AE10" s="325"/>
      <c r="AF10" s="337"/>
      <c r="AG10" s="340"/>
      <c r="AH10" s="340"/>
      <c r="AU10" s="324"/>
      <c r="AV10" s="324"/>
      <c r="AW10" s="325"/>
      <c r="AX10" s="324"/>
      <c r="AY10" s="325"/>
      <c r="AZ10" s="325"/>
      <c r="BA10" s="325"/>
      <c r="BB10" s="325"/>
      <c r="BC10" s="325"/>
      <c r="BD10" s="337"/>
      <c r="BE10" s="340"/>
      <c r="BF10" s="340"/>
      <c r="BS10" s="324"/>
      <c r="BT10" s="324"/>
      <c r="BU10" s="325"/>
      <c r="BV10" s="324"/>
      <c r="BW10" s="325"/>
      <c r="BX10" s="325"/>
      <c r="BY10" s="325"/>
      <c r="BZ10" s="325"/>
      <c r="CA10" s="325"/>
      <c r="CB10" s="337"/>
      <c r="CC10" s="340"/>
      <c r="CD10" s="340"/>
    </row>
    <row r="11" spans="13:85" ht="15" customHeight="1">
      <c r="W11" s="342"/>
      <c r="X11" s="342"/>
      <c r="Y11" s="325"/>
      <c r="Z11" s="343"/>
      <c r="AA11" s="325"/>
      <c r="AB11" s="325"/>
      <c r="AC11" s="325"/>
      <c r="AD11" s="325"/>
      <c r="AE11" s="325"/>
      <c r="AF11" s="337"/>
      <c r="AG11" s="340"/>
      <c r="AH11" s="340"/>
      <c r="AU11" s="342"/>
      <c r="AV11" s="342"/>
      <c r="AW11" s="325"/>
      <c r="AX11" s="343"/>
      <c r="AY11" s="325"/>
      <c r="AZ11" s="325"/>
      <c r="BA11" s="325"/>
      <c r="BB11" s="325"/>
      <c r="BC11" s="325"/>
      <c r="BD11" s="337"/>
      <c r="BE11" s="340"/>
      <c r="BF11" s="340"/>
      <c r="BS11" s="342"/>
      <c r="BT11" s="342"/>
      <c r="BU11" s="325"/>
      <c r="BV11" s="343"/>
      <c r="BW11" s="325"/>
      <c r="BX11" s="325"/>
      <c r="BY11" s="325"/>
      <c r="BZ11" s="325"/>
      <c r="CA11" s="325"/>
      <c r="CB11" s="337"/>
      <c r="CC11" s="340"/>
      <c r="CD11" s="340"/>
    </row>
    <row r="12" spans="13:85" ht="10.5" customHeight="1">
      <c r="M12" s="263"/>
      <c r="N12" s="263"/>
      <c r="S12" s="372"/>
      <c r="T12" s="372"/>
      <c r="U12" s="372"/>
      <c r="V12" s="372"/>
      <c r="W12" s="372"/>
      <c r="X12" s="377"/>
      <c r="Y12" s="378"/>
      <c r="Z12" s="378"/>
      <c r="AA12" s="378"/>
      <c r="AB12" s="378"/>
      <c r="AC12" s="378"/>
      <c r="AD12" s="436"/>
      <c r="AE12" s="378"/>
      <c r="AF12" s="378"/>
      <c r="AG12" s="378"/>
      <c r="AH12" s="372"/>
      <c r="AI12" s="372"/>
      <c r="AJ12" s="372"/>
      <c r="AK12" s="372"/>
      <c r="AL12" s="372"/>
      <c r="AM12" s="372"/>
      <c r="AN12" s="372"/>
      <c r="AO12" s="371"/>
      <c r="AP12" s="372"/>
      <c r="AQ12" s="379"/>
      <c r="AR12" s="372"/>
      <c r="AS12" s="372"/>
      <c r="AT12" s="372"/>
      <c r="AU12" s="372"/>
      <c r="AV12" s="377"/>
      <c r="AW12" s="378"/>
      <c r="AX12" s="378"/>
      <c r="AY12" s="378"/>
      <c r="AZ12" s="378"/>
      <c r="BA12" s="378"/>
      <c r="BB12" s="378"/>
      <c r="BC12" s="378"/>
      <c r="BD12" s="378"/>
      <c r="BE12" s="378"/>
      <c r="BF12" s="372"/>
      <c r="BG12" s="372"/>
      <c r="BH12" s="372"/>
      <c r="BI12" s="372"/>
      <c r="BJ12" s="372"/>
      <c r="BK12" s="372"/>
      <c r="BL12" s="372"/>
      <c r="BM12" s="371"/>
      <c r="BN12" s="372"/>
      <c r="BO12" s="379"/>
      <c r="BP12" s="372"/>
      <c r="BQ12" s="372"/>
      <c r="BR12" s="372"/>
      <c r="BS12" s="372"/>
      <c r="BT12" s="377"/>
      <c r="BU12" s="378"/>
      <c r="BV12" s="378"/>
      <c r="BW12" s="378"/>
      <c r="BX12" s="378"/>
      <c r="BY12" s="378"/>
      <c r="BZ12" s="378"/>
      <c r="CA12" s="378"/>
      <c r="CB12" s="378"/>
      <c r="CC12" s="378"/>
      <c r="CD12" s="372"/>
      <c r="CE12" s="372"/>
      <c r="CF12" s="372"/>
      <c r="CG12" s="372"/>
    </row>
    <row r="13" spans="13:85" ht="10.5" customHeight="1">
      <c r="M13" s="263"/>
      <c r="N13" s="263"/>
      <c r="S13" s="344"/>
      <c r="T13" s="345"/>
      <c r="U13" s="345"/>
      <c r="V13" s="346"/>
      <c r="W13" s="347"/>
      <c r="X13" s="345"/>
      <c r="Y13" s="345"/>
      <c r="Z13" s="345"/>
      <c r="AA13" s="345"/>
      <c r="AB13" s="347"/>
      <c r="AC13" s="347"/>
      <c r="AD13" s="345"/>
      <c r="AE13" s="345"/>
      <c r="AF13" s="345"/>
      <c r="AG13" s="345"/>
      <c r="AH13" s="346"/>
      <c r="AI13" s="347"/>
      <c r="AJ13" s="345"/>
      <c r="AK13" s="345"/>
      <c r="AL13" s="345"/>
      <c r="AM13" s="345"/>
      <c r="AN13" s="347"/>
      <c r="AO13" s="347"/>
      <c r="AP13" s="345"/>
      <c r="AQ13" s="348"/>
      <c r="AR13" s="345"/>
      <c r="AS13" s="345"/>
      <c r="AT13" s="346"/>
      <c r="AU13" s="347"/>
      <c r="AV13" s="345"/>
      <c r="AW13" s="345"/>
      <c r="AX13" s="345"/>
      <c r="AY13" s="345"/>
      <c r="AZ13" s="347"/>
      <c r="BA13" s="347"/>
      <c r="BB13" s="345"/>
      <c r="BC13" s="345"/>
      <c r="BD13" s="345"/>
      <c r="BE13" s="345"/>
      <c r="BF13" s="346"/>
      <c r="BG13" s="347"/>
      <c r="BH13" s="345"/>
      <c r="BI13" s="345"/>
      <c r="BJ13" s="345"/>
      <c r="BK13" s="345"/>
      <c r="BL13" s="347"/>
      <c r="BM13" s="347"/>
      <c r="BN13" s="345"/>
      <c r="BO13" s="348"/>
      <c r="BP13" s="345"/>
      <c r="BQ13" s="345"/>
      <c r="BR13" s="346"/>
      <c r="BS13" s="347"/>
      <c r="BT13" s="345"/>
      <c r="BU13" s="345"/>
      <c r="BV13" s="345"/>
      <c r="BW13" s="345"/>
      <c r="BX13" s="347"/>
      <c r="BY13" s="347"/>
      <c r="BZ13" s="345"/>
      <c r="CA13" s="345"/>
      <c r="CB13" s="345"/>
      <c r="CC13" s="345"/>
      <c r="CD13" s="346"/>
      <c r="CE13" s="347"/>
      <c r="CF13" s="345"/>
      <c r="CG13" s="345"/>
    </row>
    <row r="14" spans="13:85" ht="18" customHeight="1">
      <c r="M14" s="263"/>
      <c r="N14" s="263"/>
      <c r="S14" s="349"/>
      <c r="T14" s="350"/>
      <c r="U14" s="351"/>
      <c r="V14" s="351"/>
      <c r="W14" s="351"/>
      <c r="X14" s="350"/>
      <c r="Y14" s="351"/>
      <c r="Z14" s="350"/>
      <c r="AA14" s="351"/>
      <c r="AB14" s="351"/>
      <c r="AC14" s="351"/>
      <c r="AD14" s="350"/>
      <c r="AE14" s="351"/>
      <c r="AF14" s="350"/>
      <c r="AG14" s="351"/>
      <c r="AH14" s="351"/>
      <c r="AI14" s="351"/>
      <c r="AJ14" s="352"/>
      <c r="AK14" s="351"/>
      <c r="AL14" s="350"/>
      <c r="AM14" s="351"/>
      <c r="AN14" s="351"/>
      <c r="AO14" s="351"/>
      <c r="AP14" s="352"/>
      <c r="AQ14" s="349"/>
      <c r="AR14" s="350"/>
      <c r="AS14" s="351"/>
      <c r="AT14" s="351"/>
      <c r="AU14" s="351"/>
      <c r="AV14" s="350"/>
      <c r="AW14" s="351"/>
      <c r="AX14" s="350"/>
      <c r="AY14" s="351"/>
      <c r="AZ14" s="351"/>
      <c r="BA14" s="351"/>
      <c r="BB14" s="350"/>
      <c r="BC14" s="351"/>
      <c r="BD14" s="350"/>
      <c r="BE14" s="351"/>
      <c r="BF14" s="351"/>
      <c r="BG14" s="351"/>
      <c r="BH14" s="352"/>
      <c r="BI14" s="351"/>
      <c r="BJ14" s="350"/>
      <c r="BK14" s="351"/>
      <c r="BL14" s="351"/>
      <c r="BM14" s="351"/>
      <c r="BN14" s="352"/>
      <c r="BO14" s="349"/>
      <c r="BP14" s="350"/>
      <c r="BQ14" s="351"/>
      <c r="BR14" s="351"/>
      <c r="BS14" s="351"/>
      <c r="BT14" s="350"/>
      <c r="BU14" s="351"/>
      <c r="BV14" s="350"/>
      <c r="BW14" s="351"/>
      <c r="BX14" s="351"/>
      <c r="BY14" s="351"/>
      <c r="BZ14" s="350"/>
      <c r="CA14" s="351"/>
      <c r="CB14" s="350"/>
      <c r="CC14" s="351"/>
      <c r="CD14" s="351"/>
      <c r="CE14" s="351"/>
      <c r="CF14" s="352"/>
      <c r="CG14" s="351"/>
    </row>
    <row r="15" spans="13:85" ht="10.5" customHeight="1">
      <c r="M15" s="263"/>
      <c r="N15" s="263"/>
      <c r="S15" s="353"/>
      <c r="T15" s="354"/>
      <c r="U15" s="355"/>
      <c r="V15" s="355"/>
      <c r="W15" s="355"/>
      <c r="X15" s="356"/>
      <c r="Y15" s="355"/>
      <c r="Z15" s="354"/>
      <c r="AA15" s="355"/>
      <c r="AB15" s="355"/>
      <c r="AC15" s="355"/>
      <c r="AD15" s="354"/>
      <c r="AE15" s="355"/>
      <c r="AF15" s="354"/>
      <c r="AG15" s="355"/>
      <c r="AH15" s="355"/>
      <c r="AI15" s="355"/>
      <c r="AJ15" s="354"/>
      <c r="AK15" s="355"/>
      <c r="AL15" s="354"/>
      <c r="AM15" s="355"/>
      <c r="AN15" s="355"/>
      <c r="AO15" s="355"/>
      <c r="AP15" s="354"/>
      <c r="AQ15" s="353"/>
      <c r="AR15" s="354"/>
      <c r="AS15" s="355"/>
      <c r="AT15" s="355"/>
      <c r="AU15" s="355"/>
      <c r="AV15" s="356"/>
      <c r="AW15" s="355"/>
      <c r="AX15" s="354"/>
      <c r="AY15" s="355"/>
      <c r="AZ15" s="355"/>
      <c r="BA15" s="355"/>
      <c r="BB15" s="354"/>
      <c r="BC15" s="355"/>
      <c r="BD15" s="354"/>
      <c r="BE15" s="355"/>
      <c r="BF15" s="355"/>
      <c r="BG15" s="355"/>
      <c r="BH15" s="354"/>
      <c r="BI15" s="355"/>
      <c r="BJ15" s="354"/>
      <c r="BK15" s="355"/>
      <c r="BL15" s="355"/>
      <c r="BM15" s="355"/>
      <c r="BN15" s="354"/>
      <c r="BO15" s="353"/>
      <c r="BP15" s="354"/>
      <c r="BQ15" s="355"/>
      <c r="BR15" s="355"/>
      <c r="BS15" s="355"/>
      <c r="BT15" s="356"/>
      <c r="BU15" s="355"/>
      <c r="BV15" s="354"/>
      <c r="BW15" s="355"/>
      <c r="BX15" s="355"/>
      <c r="BY15" s="355"/>
      <c r="BZ15" s="354"/>
      <c r="CA15" s="355"/>
      <c r="CB15" s="354"/>
      <c r="CC15" s="355"/>
      <c r="CD15" s="355"/>
      <c r="CE15" s="355"/>
      <c r="CF15" s="354"/>
      <c r="CG15" s="355"/>
    </row>
    <row r="16" spans="13:85" ht="10.5" customHeight="1">
      <c r="M16" s="263"/>
      <c r="N16" s="263"/>
      <c r="X16" s="357"/>
      <c r="AD16" s="358"/>
      <c r="AJ16" s="358"/>
      <c r="AP16" s="358"/>
      <c r="AQ16" s="380"/>
      <c r="AV16" s="357"/>
      <c r="BB16" s="358"/>
      <c r="BH16" s="358"/>
      <c r="BN16" s="358"/>
      <c r="BO16" s="380"/>
      <c r="BT16" s="357"/>
      <c r="BZ16" s="358"/>
      <c r="CF16" s="358"/>
    </row>
    <row r="17" spans="9:85" ht="18" customHeight="1">
      <c r="M17" s="263"/>
      <c r="N17" s="263"/>
      <c r="X17" s="357"/>
      <c r="AD17" s="358"/>
      <c r="AJ17" s="358"/>
      <c r="AK17" s="56"/>
      <c r="AP17" s="358"/>
      <c r="AQ17" s="381"/>
      <c r="AV17" s="357"/>
      <c r="BB17" s="358"/>
      <c r="BH17" s="358"/>
      <c r="BI17" s="56"/>
      <c r="BN17" s="358"/>
      <c r="BO17" s="381"/>
      <c r="BT17" s="357"/>
      <c r="BZ17" s="358"/>
      <c r="CF17" s="358"/>
      <c r="CG17" s="56"/>
    </row>
    <row r="18" spans="9:85" ht="10.5" customHeight="1">
      <c r="M18" s="263"/>
      <c r="N18" s="263"/>
      <c r="X18" s="357"/>
      <c r="AD18" s="358"/>
      <c r="AJ18" s="358"/>
      <c r="AP18" s="358"/>
      <c r="AQ18" s="359"/>
      <c r="AV18" s="357"/>
      <c r="BB18" s="358"/>
      <c r="BH18" s="358"/>
      <c r="BN18" s="358"/>
      <c r="BO18" s="359"/>
      <c r="BT18" s="357"/>
      <c r="BZ18" s="358"/>
      <c r="CF18" s="358"/>
    </row>
    <row r="19" spans="9:85" ht="15.75" customHeight="1">
      <c r="M19" s="263"/>
      <c r="N19" s="263"/>
      <c r="X19" s="357"/>
      <c r="AD19" s="358"/>
      <c r="AJ19" s="358"/>
      <c r="AP19" s="358"/>
      <c r="AV19" s="357"/>
      <c r="BB19" s="358"/>
      <c r="BH19" s="358"/>
      <c r="BN19" s="358"/>
      <c r="BT19" s="357"/>
      <c r="BZ19" s="358"/>
      <c r="CF19" s="358"/>
    </row>
    <row r="20" spans="9:85" ht="5.25" customHeight="1">
      <c r="L20" s="89"/>
      <c r="M20" s="89"/>
      <c r="N20" s="89"/>
      <c r="O20" s="89"/>
      <c r="P20" s="89"/>
      <c r="Q20" s="89"/>
      <c r="S20" s="360"/>
      <c r="T20" s="361"/>
      <c r="U20" s="361"/>
      <c r="V20" s="361"/>
      <c r="W20" s="361"/>
      <c r="X20" s="361"/>
      <c r="Y20" s="361"/>
      <c r="Z20" s="361"/>
      <c r="AA20" s="361"/>
      <c r="AB20" s="361"/>
      <c r="AC20" s="361"/>
      <c r="AD20" s="361"/>
      <c r="AE20" s="361"/>
      <c r="AF20" s="361"/>
      <c r="AG20" s="361"/>
      <c r="AH20" s="361"/>
      <c r="AI20" s="361"/>
      <c r="AJ20" s="361"/>
      <c r="AK20" s="361"/>
      <c r="AL20" s="361"/>
      <c r="AM20" s="361"/>
      <c r="AN20" s="361"/>
      <c r="AO20" s="361"/>
      <c r="AP20" s="361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2"/>
      <c r="BN20" s="364"/>
      <c r="BP20" s="361"/>
      <c r="BQ20" s="361"/>
      <c r="BR20" s="361"/>
      <c r="BS20" s="362"/>
      <c r="BT20" s="361"/>
      <c r="BU20" s="361"/>
      <c r="BV20" s="361"/>
      <c r="BW20" s="361"/>
      <c r="BX20" s="361"/>
      <c r="BY20" s="363"/>
      <c r="BZ20" s="361"/>
      <c r="CA20" s="361"/>
      <c r="CB20" s="361"/>
      <c r="CC20" s="361"/>
      <c r="CD20" s="361"/>
      <c r="CE20" s="362"/>
      <c r="CF20" s="361"/>
      <c r="CG20" s="361"/>
    </row>
    <row r="21" spans="9:85" ht="15.75" customHeight="1">
      <c r="I21" s="482"/>
      <c r="K21" s="482"/>
      <c r="W21" s="342"/>
      <c r="X21" s="342"/>
      <c r="Y21" s="325"/>
      <c r="Z21" s="343"/>
      <c r="AA21" s="325"/>
      <c r="AB21" s="325"/>
      <c r="AC21" s="325"/>
      <c r="AD21" s="325"/>
      <c r="AE21" s="325"/>
      <c r="AF21" s="337"/>
      <c r="AG21" s="340"/>
      <c r="AH21" s="340"/>
      <c r="AU21" s="342"/>
      <c r="AV21" s="342"/>
      <c r="AW21" s="325"/>
      <c r="AX21" s="343"/>
      <c r="AY21" s="325"/>
      <c r="AZ21" s="325"/>
      <c r="BA21" s="325"/>
      <c r="BB21" s="325"/>
      <c r="BC21" s="325"/>
      <c r="BD21" s="337"/>
      <c r="BE21" s="340"/>
      <c r="BF21" s="340"/>
      <c r="BS21" s="342"/>
      <c r="BT21" s="342"/>
      <c r="BU21" s="325"/>
      <c r="BV21" s="343"/>
      <c r="BW21" s="325"/>
      <c r="BX21" s="325"/>
      <c r="BY21" s="325"/>
      <c r="BZ21" s="325"/>
      <c r="CA21" s="325"/>
      <c r="CB21" s="337"/>
      <c r="CC21" s="340"/>
      <c r="CD21" s="340"/>
    </row>
    <row r="22" spans="9:85" ht="10.5" customHeight="1">
      <c r="I22" s="482"/>
      <c r="K22" s="482"/>
      <c r="M22" s="263">
        <v>2.5</v>
      </c>
      <c r="N22" s="263">
        <v>3.5</v>
      </c>
      <c r="O22">
        <f>+N22/M22</f>
        <v>1.4</v>
      </c>
      <c r="S22" s="372"/>
      <c r="T22" s="372"/>
      <c r="U22" s="372"/>
      <c r="V22" s="372"/>
      <c r="W22" s="372"/>
      <c r="X22" s="377"/>
      <c r="Y22" s="378"/>
      <c r="Z22" s="378"/>
      <c r="AA22" s="378"/>
      <c r="AB22" s="378"/>
      <c r="AC22" s="378"/>
      <c r="AD22" s="378"/>
      <c r="AE22" s="378"/>
      <c r="AF22" s="378"/>
      <c r="AG22" s="378"/>
      <c r="AH22" s="372"/>
      <c r="AI22" s="372"/>
      <c r="AJ22" s="372"/>
      <c r="AK22" s="372"/>
      <c r="AL22" s="372"/>
      <c r="AM22" s="372"/>
      <c r="AN22" s="372"/>
      <c r="AO22" s="371"/>
      <c r="AP22" s="372"/>
      <c r="AQ22" s="379"/>
      <c r="AR22" s="372"/>
      <c r="AS22" s="372"/>
      <c r="AT22" s="372"/>
      <c r="AU22" s="372"/>
      <c r="AV22" s="377"/>
      <c r="AW22" s="378"/>
      <c r="AX22" s="378"/>
      <c r="AY22" s="378"/>
      <c r="AZ22" s="378"/>
      <c r="BA22" s="378"/>
      <c r="BB22" s="378"/>
      <c r="BC22" s="378"/>
      <c r="BD22" s="378"/>
      <c r="BE22" s="378"/>
      <c r="BF22" s="372"/>
      <c r="BG22" s="372"/>
      <c r="BH22" s="372"/>
      <c r="BI22" s="372"/>
      <c r="BJ22" s="372"/>
      <c r="BK22" s="372"/>
      <c r="BL22" s="372"/>
      <c r="BM22" s="371"/>
      <c r="BN22" s="372"/>
      <c r="BO22" s="379"/>
      <c r="BP22" s="372"/>
      <c r="BQ22" s="372"/>
      <c r="BR22" s="372"/>
      <c r="BS22" s="372"/>
      <c r="BT22" s="377"/>
      <c r="BU22" s="378"/>
      <c r="BV22" s="378"/>
      <c r="BW22" s="378"/>
      <c r="BX22" s="378"/>
      <c r="BY22" s="378"/>
      <c r="BZ22" s="378"/>
      <c r="CA22" s="378"/>
      <c r="CB22" s="378"/>
      <c r="CC22" s="378"/>
      <c r="CD22" s="372"/>
      <c r="CE22" s="372"/>
      <c r="CF22" s="372"/>
      <c r="CG22" s="372"/>
    </row>
    <row r="23" spans="9:85" ht="10.5" customHeight="1">
      <c r="I23" s="482"/>
      <c r="K23" s="482"/>
      <c r="M23" s="263">
        <v>3</v>
      </c>
      <c r="N23" s="263">
        <v>4.2</v>
      </c>
      <c r="O23">
        <f>+N23/M23</f>
        <v>1.4000000000000001</v>
      </c>
      <c r="S23" s="344"/>
      <c r="T23" s="345"/>
      <c r="U23" s="345"/>
      <c r="V23" s="346"/>
      <c r="W23" s="347"/>
      <c r="X23" s="345"/>
      <c r="Y23" s="345"/>
      <c r="Z23" s="345"/>
      <c r="AA23" s="345"/>
      <c r="AB23" s="347"/>
      <c r="AC23" s="347"/>
      <c r="AD23" s="345"/>
      <c r="AE23" s="345"/>
      <c r="AF23" s="345"/>
      <c r="AG23" s="345"/>
      <c r="AH23" s="346"/>
      <c r="AI23" s="347"/>
      <c r="AJ23" s="345"/>
      <c r="AK23" s="345"/>
      <c r="AL23" s="345"/>
      <c r="AM23" s="345"/>
      <c r="AN23" s="347"/>
      <c r="AO23" s="347"/>
      <c r="AP23" s="345"/>
      <c r="AQ23" s="348"/>
      <c r="AR23" s="345"/>
      <c r="AS23" s="345"/>
      <c r="AT23" s="346"/>
      <c r="AU23" s="347"/>
      <c r="AV23" s="345"/>
      <c r="AW23" s="345"/>
      <c r="AX23" s="345"/>
      <c r="AY23" s="345"/>
      <c r="AZ23" s="347"/>
      <c r="BA23" s="347"/>
      <c r="BB23" s="345"/>
      <c r="BC23" s="345"/>
      <c r="BD23" s="345"/>
      <c r="BE23" s="345"/>
      <c r="BF23" s="346"/>
      <c r="BG23" s="347"/>
      <c r="BH23" s="345"/>
      <c r="BI23" s="345"/>
      <c r="BJ23" s="345"/>
      <c r="BK23" s="345"/>
      <c r="BL23" s="347"/>
      <c r="BM23" s="347"/>
      <c r="BN23" s="345"/>
      <c r="BO23" s="348"/>
      <c r="BP23" s="345"/>
      <c r="BQ23" s="345"/>
      <c r="BR23" s="346"/>
      <c r="BS23" s="347"/>
      <c r="BT23" s="345"/>
      <c r="BU23" s="345"/>
      <c r="BV23" s="345"/>
      <c r="BW23" s="345"/>
      <c r="BX23" s="347"/>
      <c r="BY23" s="347"/>
      <c r="BZ23" s="345"/>
      <c r="CA23" s="345"/>
      <c r="CB23" s="345"/>
      <c r="CC23" s="345"/>
      <c r="CD23" s="346"/>
      <c r="CE23" s="347"/>
      <c r="CF23" s="345"/>
      <c r="CG23" s="345"/>
    </row>
    <row r="24" spans="9:85" ht="18" customHeight="1">
      <c r="I24" s="482"/>
      <c r="K24" s="482"/>
      <c r="M24" s="263"/>
      <c r="N24" s="263"/>
      <c r="S24" s="349"/>
      <c r="T24" s="350"/>
      <c r="U24" s="351"/>
      <c r="V24" s="351"/>
      <c r="W24" s="351"/>
      <c r="X24" s="350"/>
      <c r="Y24" s="351"/>
      <c r="Z24" s="350"/>
      <c r="AA24" s="351"/>
      <c r="AB24" s="351"/>
      <c r="AC24" s="351"/>
      <c r="AD24" s="350"/>
      <c r="AE24" s="351"/>
      <c r="AF24" s="350"/>
      <c r="AG24" s="351"/>
      <c r="AH24" s="351"/>
      <c r="AI24" s="351"/>
      <c r="AJ24" s="352"/>
      <c r="AK24" s="351"/>
      <c r="AL24" s="350"/>
      <c r="AM24" s="351"/>
      <c r="AN24" s="351"/>
      <c r="AO24" s="351"/>
      <c r="AP24" s="352"/>
      <c r="AQ24" s="349"/>
      <c r="AR24" s="350"/>
      <c r="AS24" s="351"/>
      <c r="AT24" s="351"/>
      <c r="AU24" s="351"/>
      <c r="AV24" s="350"/>
      <c r="AW24" s="351"/>
      <c r="AX24" s="350"/>
      <c r="AY24" s="351"/>
      <c r="AZ24" s="351"/>
      <c r="BA24" s="351"/>
      <c r="BB24" s="350"/>
      <c r="BC24" s="351"/>
      <c r="BD24" s="350"/>
      <c r="BE24" s="351"/>
      <c r="BF24" s="351"/>
      <c r="BG24" s="351"/>
      <c r="BH24" s="352"/>
      <c r="BI24" s="351"/>
      <c r="BJ24" s="350"/>
      <c r="BK24" s="351"/>
      <c r="BL24" s="351"/>
      <c r="BM24" s="351"/>
      <c r="BN24" s="352"/>
      <c r="BO24" s="349"/>
      <c r="BP24" s="350"/>
      <c r="BQ24" s="351"/>
      <c r="BR24" s="351"/>
      <c r="BS24" s="351"/>
      <c r="BT24" s="350"/>
      <c r="BU24" s="351"/>
      <c r="BV24" s="350"/>
      <c r="BW24" s="351"/>
      <c r="BX24" s="351"/>
      <c r="BY24" s="351"/>
      <c r="BZ24" s="350"/>
      <c r="CA24" s="351"/>
      <c r="CB24" s="350"/>
      <c r="CC24" s="351"/>
      <c r="CD24" s="351"/>
      <c r="CE24" s="351"/>
      <c r="CF24" s="352"/>
      <c r="CG24" s="351"/>
    </row>
    <row r="25" spans="9:85" ht="10.5" customHeight="1">
      <c r="I25" s="482"/>
      <c r="K25" s="482"/>
      <c r="M25" s="263"/>
      <c r="N25" s="263"/>
      <c r="S25" s="353"/>
      <c r="T25" s="354"/>
      <c r="U25" s="355"/>
      <c r="V25" s="355"/>
      <c r="W25" s="355"/>
      <c r="X25" s="356"/>
      <c r="Y25" s="355"/>
      <c r="Z25" s="354"/>
      <c r="AA25" s="355"/>
      <c r="AB25" s="355"/>
      <c r="AC25" s="355"/>
      <c r="AD25" s="354"/>
      <c r="AE25" s="355"/>
      <c r="AF25" s="354"/>
      <c r="AG25" s="355"/>
      <c r="AH25" s="355"/>
      <c r="AI25" s="355"/>
      <c r="AJ25" s="354"/>
      <c r="AK25" s="355"/>
      <c r="AL25" s="354"/>
      <c r="AM25" s="355"/>
      <c r="AN25" s="355"/>
      <c r="AO25" s="355"/>
      <c r="AP25" s="354"/>
      <c r="AQ25" s="353"/>
      <c r="AR25" s="354"/>
      <c r="AS25" s="355"/>
      <c r="AT25" s="355"/>
      <c r="AU25" s="355"/>
      <c r="AV25" s="356"/>
      <c r="AW25" s="355"/>
      <c r="AX25" s="354"/>
      <c r="AY25" s="355"/>
      <c r="AZ25" s="355"/>
      <c r="BA25" s="355"/>
      <c r="BB25" s="354"/>
      <c r="BC25" s="355"/>
      <c r="BD25" s="354"/>
      <c r="BE25" s="355"/>
      <c r="BF25" s="355"/>
      <c r="BG25" s="355"/>
      <c r="BH25" s="354"/>
      <c r="BI25" s="355"/>
      <c r="BJ25" s="354"/>
      <c r="BK25" s="355"/>
      <c r="BL25" s="355"/>
      <c r="BM25" s="355"/>
      <c r="BN25" s="354"/>
      <c r="BO25" s="353"/>
      <c r="BP25" s="354"/>
      <c r="BQ25" s="355"/>
      <c r="BR25" s="355"/>
      <c r="BS25" s="355"/>
      <c r="BT25" s="356"/>
      <c r="BU25" s="355"/>
      <c r="BV25" s="354"/>
      <c r="BW25" s="355"/>
      <c r="BX25" s="355"/>
      <c r="BY25" s="355"/>
      <c r="BZ25" s="354"/>
      <c r="CA25" s="355"/>
      <c r="CB25" s="354"/>
      <c r="CC25" s="355"/>
      <c r="CD25" s="355"/>
      <c r="CE25" s="355"/>
      <c r="CF25" s="354"/>
      <c r="CG25" s="355"/>
    </row>
    <row r="26" spans="9:85" ht="10.5" customHeight="1">
      <c r="I26" s="482"/>
      <c r="K26" s="482"/>
      <c r="M26" s="263"/>
      <c r="N26" s="263"/>
      <c r="X26" s="357"/>
      <c r="AD26" s="358"/>
      <c r="AJ26" s="358"/>
      <c r="AP26" s="358"/>
      <c r="AQ26" s="380"/>
      <c r="AV26" s="357"/>
      <c r="BB26" s="358"/>
      <c r="BH26" s="358"/>
      <c r="BN26" s="358"/>
      <c r="BO26" s="380"/>
      <c r="BT26" s="357"/>
      <c r="BZ26" s="358"/>
      <c r="CF26" s="358"/>
    </row>
    <row r="27" spans="9:85" ht="18" customHeight="1">
      <c r="I27" s="482"/>
      <c r="K27" s="482"/>
      <c r="M27" s="263"/>
      <c r="N27" s="263"/>
      <c r="X27" s="357"/>
      <c r="AD27" s="358"/>
      <c r="AJ27" s="358"/>
      <c r="AK27" s="56"/>
      <c r="AP27" s="358"/>
      <c r="AQ27" s="381"/>
      <c r="AV27" s="357"/>
      <c r="BB27" s="358"/>
      <c r="BH27" s="358"/>
      <c r="BI27" s="56"/>
      <c r="BN27" s="358"/>
      <c r="BO27" s="381"/>
      <c r="BT27" s="357"/>
      <c r="BZ27" s="358"/>
      <c r="CF27" s="358"/>
      <c r="CG27" s="56"/>
    </row>
    <row r="28" spans="9:85" ht="10.5" customHeight="1">
      <c r="I28" s="482"/>
      <c r="K28" s="482"/>
      <c r="M28" s="263"/>
      <c r="N28" s="263"/>
      <c r="X28" s="357"/>
      <c r="AD28" s="358"/>
      <c r="AJ28" s="358"/>
      <c r="AP28" s="358"/>
      <c r="AQ28" s="359"/>
      <c r="AV28" s="357"/>
      <c r="BB28" s="358"/>
      <c r="BH28" s="358"/>
      <c r="BN28" s="358"/>
      <c r="BO28" s="359"/>
      <c r="BT28" s="357"/>
      <c r="BZ28" s="358"/>
      <c r="CF28" s="358"/>
    </row>
    <row r="29" spans="9:85" ht="15.75" customHeight="1">
      <c r="I29" s="482"/>
      <c r="K29" s="482"/>
      <c r="M29" s="263"/>
      <c r="N29" s="263"/>
      <c r="X29" s="357"/>
      <c r="AD29" s="358"/>
      <c r="AJ29" s="358"/>
      <c r="AP29" s="358"/>
      <c r="AV29" s="357"/>
      <c r="BB29" s="358"/>
      <c r="BH29" s="358"/>
      <c r="BN29" s="358"/>
      <c r="BT29" s="357"/>
      <c r="BZ29" s="358"/>
      <c r="CF29" s="358"/>
    </row>
    <row r="30" spans="9:85" ht="5.25" customHeight="1">
      <c r="I30" s="482"/>
      <c r="K30" s="482"/>
      <c r="L30" s="398"/>
      <c r="M30" s="398"/>
      <c r="N30" s="398"/>
      <c r="O30" s="398"/>
      <c r="P30" s="398"/>
      <c r="Q30" s="398"/>
      <c r="S30" s="360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361"/>
      <c r="AQ30" s="361"/>
      <c r="AR30" s="361"/>
      <c r="AS30" s="361"/>
      <c r="AT30" s="361"/>
      <c r="AU30" s="361"/>
      <c r="AV30" s="361"/>
      <c r="AW30" s="361"/>
      <c r="AX30" s="361"/>
      <c r="AY30" s="361"/>
      <c r="AZ30" s="361"/>
      <c r="BA30" s="361"/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2"/>
      <c r="BN30" s="364"/>
      <c r="BP30" s="361"/>
      <c r="BQ30" s="361"/>
      <c r="BR30" s="361"/>
      <c r="BS30" s="362"/>
      <c r="BT30" s="361"/>
      <c r="BU30" s="361"/>
      <c r="BV30" s="361"/>
      <c r="BW30" s="361"/>
      <c r="BX30" s="361"/>
      <c r="BY30" s="363"/>
      <c r="BZ30" s="361"/>
      <c r="CA30" s="361"/>
      <c r="CB30" s="361"/>
      <c r="CC30" s="361"/>
      <c r="CD30" s="361"/>
      <c r="CE30" s="362"/>
      <c r="CF30" s="361"/>
      <c r="CG30" s="361"/>
    </row>
    <row r="31" spans="9:85" ht="15.75" customHeight="1">
      <c r="I31" s="482"/>
      <c r="K31" s="482"/>
      <c r="W31" s="342"/>
      <c r="X31" s="342"/>
      <c r="Y31" s="325"/>
      <c r="Z31" s="343"/>
      <c r="AA31" s="325"/>
      <c r="AB31" s="325"/>
      <c r="AC31" s="325"/>
      <c r="AD31" s="325"/>
      <c r="AE31" s="325"/>
      <c r="AF31" s="337"/>
      <c r="AG31" s="340"/>
      <c r="AH31" s="340"/>
      <c r="AU31" s="342"/>
      <c r="AV31" s="342"/>
      <c r="AW31" s="325"/>
      <c r="AX31" s="343"/>
      <c r="AY31" s="325"/>
      <c r="AZ31" s="325"/>
      <c r="BA31" s="325"/>
      <c r="BB31" s="325"/>
      <c r="BC31" s="325"/>
      <c r="BD31" s="337"/>
      <c r="BE31" s="340"/>
      <c r="BF31" s="340"/>
      <c r="BS31" s="342"/>
      <c r="BT31" s="342"/>
      <c r="BU31" s="325"/>
      <c r="BV31" s="343"/>
      <c r="BW31" s="325"/>
      <c r="BX31" s="325"/>
      <c r="BY31" s="325"/>
      <c r="BZ31" s="325"/>
      <c r="CA31" s="325"/>
      <c r="CB31" s="337"/>
      <c r="CC31" s="340"/>
      <c r="CD31" s="340"/>
    </row>
    <row r="32" spans="9:85" ht="10.5" customHeight="1">
      <c r="I32" s="482"/>
      <c r="K32" s="482"/>
      <c r="M32" s="263"/>
      <c r="N32" s="263"/>
      <c r="S32" s="372"/>
      <c r="T32" s="372"/>
      <c r="U32" s="372"/>
      <c r="V32" s="372"/>
      <c r="W32" s="372"/>
      <c r="X32" s="377"/>
      <c r="Y32" s="378"/>
      <c r="Z32" s="378"/>
      <c r="AA32" s="378"/>
      <c r="AB32" s="378"/>
      <c r="AC32" s="378"/>
      <c r="AD32" s="378"/>
      <c r="AE32" s="378"/>
      <c r="AF32" s="378"/>
      <c r="AG32" s="378"/>
      <c r="AH32" s="372"/>
      <c r="AI32" s="372"/>
      <c r="AJ32" s="372"/>
      <c r="AK32" s="372"/>
      <c r="AL32" s="372"/>
      <c r="AM32" s="372"/>
      <c r="AN32" s="372"/>
      <c r="AO32" s="371"/>
      <c r="AP32" s="372"/>
      <c r="AQ32" s="379"/>
      <c r="AR32" s="372"/>
      <c r="AS32" s="372"/>
      <c r="AT32" s="372"/>
      <c r="AU32" s="372"/>
      <c r="AV32" s="377"/>
      <c r="AW32" s="378"/>
      <c r="AX32" s="378"/>
      <c r="AY32" s="378"/>
      <c r="AZ32" s="378"/>
      <c r="BA32" s="378"/>
      <c r="BB32" s="378"/>
      <c r="BC32" s="378"/>
      <c r="BD32" s="378"/>
      <c r="BE32" s="378"/>
      <c r="BF32" s="372"/>
      <c r="BG32" s="372"/>
      <c r="BH32" s="372"/>
      <c r="BI32" s="372"/>
      <c r="BJ32" s="372"/>
      <c r="BK32" s="372"/>
      <c r="BL32" s="372"/>
      <c r="BM32" s="371"/>
      <c r="BN32" s="372"/>
      <c r="BO32" s="379"/>
      <c r="BP32" s="372"/>
      <c r="BQ32" s="372"/>
      <c r="BR32" s="372"/>
      <c r="BS32" s="372"/>
      <c r="BT32" s="377"/>
      <c r="BU32" s="378"/>
      <c r="BV32" s="378"/>
      <c r="BW32" s="378"/>
      <c r="BX32" s="378"/>
      <c r="BY32" s="378"/>
      <c r="BZ32" s="378"/>
      <c r="CA32" s="378"/>
      <c r="CB32" s="378"/>
      <c r="CC32" s="378"/>
      <c r="CD32" s="372"/>
      <c r="CE32" s="372"/>
      <c r="CF32" s="372"/>
      <c r="CG32" s="372"/>
    </row>
    <row r="33" spans="9:85" ht="10.5" customHeight="1">
      <c r="I33" s="482"/>
      <c r="K33" s="482"/>
      <c r="M33" s="263"/>
      <c r="N33" s="263"/>
      <c r="S33" s="344"/>
      <c r="T33" s="345"/>
      <c r="U33" s="345"/>
      <c r="V33" s="346"/>
      <c r="W33" s="347"/>
      <c r="X33" s="345"/>
      <c r="Y33" s="345"/>
      <c r="Z33" s="345"/>
      <c r="AA33" s="345"/>
      <c r="AB33" s="347"/>
      <c r="AC33" s="347"/>
      <c r="AD33" s="345"/>
      <c r="AE33" s="345"/>
      <c r="AF33" s="345"/>
      <c r="AG33" s="345"/>
      <c r="AH33" s="346"/>
      <c r="AI33" s="347"/>
      <c r="AJ33" s="345"/>
      <c r="AK33" s="345"/>
      <c r="AL33" s="345"/>
      <c r="AM33" s="345"/>
      <c r="AN33" s="347"/>
      <c r="AO33" s="347"/>
      <c r="AP33" s="345"/>
      <c r="AQ33" s="348"/>
      <c r="AR33" s="345"/>
      <c r="AS33" s="345"/>
      <c r="AT33" s="346"/>
      <c r="AU33" s="347"/>
      <c r="AV33" s="345"/>
      <c r="AW33" s="345"/>
      <c r="AX33" s="345"/>
      <c r="AY33" s="345"/>
      <c r="AZ33" s="347"/>
      <c r="BA33" s="347"/>
      <c r="BB33" s="345"/>
      <c r="BC33" s="345"/>
      <c r="BD33" s="345"/>
      <c r="BE33" s="345"/>
      <c r="BF33" s="346"/>
      <c r="BG33" s="347"/>
      <c r="BH33" s="345"/>
      <c r="BI33" s="345"/>
      <c r="BJ33" s="345"/>
      <c r="BK33" s="345"/>
      <c r="BL33" s="347"/>
      <c r="BM33" s="347"/>
      <c r="BN33" s="345"/>
      <c r="BO33" s="348"/>
      <c r="BP33" s="345"/>
      <c r="BQ33" s="345"/>
      <c r="BR33" s="346"/>
      <c r="BS33" s="347"/>
      <c r="BT33" s="345"/>
      <c r="BU33" s="345"/>
      <c r="BV33" s="345"/>
      <c r="BW33" s="345"/>
      <c r="BX33" s="347"/>
      <c r="BY33" s="347"/>
      <c r="BZ33" s="345"/>
      <c r="CA33" s="345"/>
      <c r="CB33" s="345"/>
      <c r="CC33" s="345"/>
      <c r="CD33" s="346"/>
      <c r="CE33" s="347"/>
      <c r="CF33" s="345"/>
      <c r="CG33" s="345"/>
    </row>
    <row r="34" spans="9:85" ht="18" customHeight="1">
      <c r="I34" s="482"/>
      <c r="K34" s="482"/>
      <c r="M34" s="263"/>
      <c r="N34" s="263"/>
      <c r="S34" s="349"/>
      <c r="T34" s="350"/>
      <c r="U34" s="351"/>
      <c r="V34" s="351"/>
      <c r="W34" s="351"/>
      <c r="X34" s="350"/>
      <c r="Y34" s="351"/>
      <c r="Z34" s="350"/>
      <c r="AA34" s="351"/>
      <c r="AB34" s="351"/>
      <c r="AC34" s="351"/>
      <c r="AD34" s="350"/>
      <c r="AE34" s="351"/>
      <c r="AF34" s="350"/>
      <c r="AG34" s="351"/>
      <c r="AH34" s="351"/>
      <c r="AI34" s="351"/>
      <c r="AJ34" s="352"/>
      <c r="AK34" s="351"/>
      <c r="AL34" s="350"/>
      <c r="AM34" s="351"/>
      <c r="AN34" s="351"/>
      <c r="AO34" s="351"/>
      <c r="AP34" s="352"/>
      <c r="AQ34" s="349"/>
      <c r="AR34" s="350"/>
      <c r="AS34" s="351"/>
      <c r="AT34" s="351"/>
      <c r="AU34" s="351"/>
      <c r="AV34" s="350"/>
      <c r="AW34" s="351"/>
      <c r="AX34" s="350"/>
      <c r="AY34" s="351"/>
      <c r="AZ34" s="351"/>
      <c r="BA34" s="351"/>
      <c r="BB34" s="350"/>
      <c r="BC34" s="351"/>
      <c r="BD34" s="350"/>
      <c r="BE34" s="351"/>
      <c r="BF34" s="351"/>
      <c r="BG34" s="351"/>
      <c r="BH34" s="352"/>
      <c r="BI34" s="351"/>
      <c r="BJ34" s="350"/>
      <c r="BK34" s="351"/>
      <c r="BL34" s="351"/>
      <c r="BM34" s="351"/>
      <c r="BN34" s="352"/>
      <c r="BO34" s="349"/>
      <c r="BP34" s="350"/>
      <c r="BQ34" s="351"/>
      <c r="BR34" s="351"/>
      <c r="BS34" s="351"/>
      <c r="BT34" s="350"/>
      <c r="BU34" s="351"/>
      <c r="BV34" s="350"/>
      <c r="BW34" s="351"/>
      <c r="BX34" s="351"/>
      <c r="BY34" s="351"/>
      <c r="BZ34" s="350"/>
      <c r="CA34" s="351"/>
      <c r="CB34" s="350"/>
      <c r="CC34" s="351"/>
      <c r="CD34" s="351"/>
      <c r="CE34" s="351"/>
      <c r="CF34" s="352"/>
      <c r="CG34" s="351"/>
    </row>
    <row r="35" spans="9:85" ht="10.5" customHeight="1">
      <c r="I35" s="482"/>
      <c r="K35" s="482"/>
      <c r="M35" s="263"/>
      <c r="N35" s="263"/>
      <c r="S35" s="353"/>
      <c r="T35" s="354"/>
      <c r="U35" s="355"/>
      <c r="V35" s="355"/>
      <c r="W35" s="355"/>
      <c r="X35" s="356"/>
      <c r="Y35" s="355"/>
      <c r="Z35" s="354"/>
      <c r="AA35" s="355"/>
      <c r="AB35" s="355"/>
      <c r="AC35" s="355"/>
      <c r="AD35" s="354"/>
      <c r="AE35" s="355"/>
      <c r="AF35" s="354"/>
      <c r="AG35" s="355"/>
      <c r="AH35" s="355"/>
      <c r="AI35" s="355"/>
      <c r="AJ35" s="354"/>
      <c r="AK35" s="355"/>
      <c r="AL35" s="354"/>
      <c r="AM35" s="355"/>
      <c r="AN35" s="355"/>
      <c r="AO35" s="355"/>
      <c r="AP35" s="354"/>
      <c r="AQ35" s="353"/>
      <c r="AR35" s="354"/>
      <c r="AS35" s="355"/>
      <c r="AT35" s="355"/>
      <c r="AU35" s="355"/>
      <c r="AV35" s="356"/>
      <c r="AW35" s="355"/>
      <c r="AX35" s="354"/>
      <c r="AY35" s="355"/>
      <c r="AZ35" s="355"/>
      <c r="BA35" s="355"/>
      <c r="BB35" s="354"/>
      <c r="BC35" s="355"/>
      <c r="BD35" s="354"/>
      <c r="BE35" s="355"/>
      <c r="BF35" s="355"/>
      <c r="BG35" s="355"/>
      <c r="BH35" s="354"/>
      <c r="BI35" s="355"/>
      <c r="BJ35" s="354"/>
      <c r="BK35" s="355"/>
      <c r="BL35" s="355"/>
      <c r="BM35" s="355"/>
      <c r="BN35" s="354"/>
      <c r="BO35" s="353"/>
      <c r="BP35" s="354"/>
      <c r="BQ35" s="355"/>
      <c r="BR35" s="355"/>
      <c r="BS35" s="355"/>
      <c r="BT35" s="356"/>
      <c r="BU35" s="355"/>
      <c r="BV35" s="354"/>
      <c r="BW35" s="355"/>
      <c r="BX35" s="355"/>
      <c r="BY35" s="355"/>
      <c r="BZ35" s="354"/>
      <c r="CA35" s="355"/>
      <c r="CB35" s="354"/>
      <c r="CC35" s="355"/>
      <c r="CD35" s="355"/>
      <c r="CE35" s="355"/>
      <c r="CF35" s="354"/>
      <c r="CG35" s="355"/>
    </row>
    <row r="36" spans="9:85" ht="10.5" customHeight="1">
      <c r="I36" s="482"/>
      <c r="K36" s="482"/>
      <c r="M36" s="263"/>
      <c r="N36" s="263"/>
      <c r="X36" s="357"/>
      <c r="AD36" s="358"/>
      <c r="AJ36" s="358"/>
      <c r="AP36" s="358"/>
      <c r="AQ36" s="380"/>
      <c r="AV36" s="357"/>
      <c r="BB36" s="358"/>
      <c r="BH36" s="358"/>
      <c r="BN36" s="358"/>
      <c r="BO36" s="380"/>
      <c r="BT36" s="357"/>
      <c r="BZ36" s="358"/>
      <c r="CF36" s="358"/>
    </row>
    <row r="37" spans="9:85" ht="18" customHeight="1">
      <c r="I37" s="482"/>
      <c r="K37" s="482"/>
      <c r="M37" s="263"/>
      <c r="N37" s="263"/>
      <c r="X37" s="357"/>
      <c r="AD37" s="358"/>
      <c r="AJ37" s="358"/>
      <c r="AK37" s="56"/>
      <c r="AP37" s="358"/>
      <c r="AQ37" s="381"/>
      <c r="AV37" s="357"/>
      <c r="BB37" s="358"/>
      <c r="BH37" s="358"/>
      <c r="BI37" s="56"/>
      <c r="BN37" s="358"/>
      <c r="BO37" s="381"/>
      <c r="BT37" s="357"/>
      <c r="BZ37" s="358"/>
      <c r="CF37" s="358"/>
      <c r="CG37" s="56"/>
    </row>
    <row r="38" spans="9:85" ht="10.5" customHeight="1">
      <c r="I38" s="482"/>
      <c r="K38" s="482"/>
      <c r="M38" s="263"/>
      <c r="N38" s="263"/>
      <c r="X38" s="357"/>
      <c r="AD38" s="358"/>
      <c r="AJ38" s="358"/>
      <c r="AP38" s="358"/>
      <c r="AQ38" s="359"/>
      <c r="AV38" s="357"/>
      <c r="BB38" s="358"/>
      <c r="BH38" s="358"/>
      <c r="BN38" s="358"/>
      <c r="BO38" s="359"/>
      <c r="BT38" s="357"/>
      <c r="BZ38" s="358"/>
      <c r="CF38" s="358"/>
    </row>
    <row r="39" spans="9:85" ht="15.75" customHeight="1">
      <c r="I39" s="482"/>
      <c r="K39" s="482"/>
      <c r="M39" s="263"/>
      <c r="N39" s="263"/>
      <c r="X39" s="357"/>
      <c r="AD39" s="358"/>
      <c r="AJ39" s="358"/>
      <c r="AP39" s="358"/>
      <c r="AV39" s="357"/>
      <c r="BB39" s="358"/>
      <c r="BH39" s="358"/>
      <c r="BN39" s="358"/>
      <c r="BT39" s="357"/>
      <c r="BZ39" s="358"/>
      <c r="CF39" s="358"/>
    </row>
    <row r="40" spans="9:85" ht="4.5" customHeight="1">
      <c r="I40" s="482"/>
      <c r="K40" s="482"/>
      <c r="L40" s="398"/>
      <c r="M40" s="398"/>
      <c r="N40" s="398"/>
      <c r="O40" s="398"/>
      <c r="P40" s="398"/>
      <c r="Q40" s="398"/>
      <c r="S40" s="360"/>
      <c r="T40" s="361"/>
      <c r="U40" s="361"/>
      <c r="V40" s="361"/>
      <c r="W40" s="361"/>
      <c r="X40" s="361"/>
      <c r="Y40" s="361"/>
      <c r="Z40" s="361"/>
      <c r="AA40" s="361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2"/>
      <c r="BN40" s="364"/>
      <c r="BP40" s="361"/>
      <c r="BQ40" s="361"/>
      <c r="BR40" s="361"/>
      <c r="BS40" s="362"/>
      <c r="BT40" s="361"/>
      <c r="BU40" s="361"/>
      <c r="BV40" s="361"/>
      <c r="BW40" s="361"/>
      <c r="BX40" s="361"/>
      <c r="BY40" s="363"/>
      <c r="BZ40" s="361"/>
      <c r="CA40" s="361"/>
      <c r="CB40" s="361"/>
      <c r="CC40" s="361"/>
      <c r="CD40" s="361"/>
      <c r="CE40" s="362"/>
      <c r="CF40" s="361"/>
      <c r="CG40" s="361"/>
    </row>
    <row r="41" spans="9:85" ht="15.75" customHeight="1">
      <c r="I41" s="398"/>
      <c r="K41" s="398"/>
      <c r="W41" s="342"/>
      <c r="X41" s="342"/>
      <c r="Y41" s="325"/>
      <c r="Z41" s="343"/>
      <c r="AA41" s="325"/>
      <c r="AB41" s="325"/>
      <c r="AC41" s="325"/>
      <c r="AD41" s="325"/>
      <c r="AE41" s="325"/>
      <c r="AF41" s="337"/>
      <c r="AG41" s="340"/>
      <c r="AH41" s="340"/>
      <c r="AU41" s="342"/>
      <c r="AV41" s="342"/>
      <c r="AW41" s="325"/>
      <c r="AX41" s="343"/>
      <c r="AY41" s="325"/>
      <c r="AZ41" s="325"/>
      <c r="BA41" s="325"/>
      <c r="BB41" s="325"/>
      <c r="BC41" s="325"/>
      <c r="BD41" s="337"/>
      <c r="BE41" s="340"/>
      <c r="BF41" s="340"/>
      <c r="BS41" s="342"/>
      <c r="BT41" s="342"/>
      <c r="BU41" s="325"/>
      <c r="BV41" s="343"/>
      <c r="BW41" s="325"/>
      <c r="BX41" s="325"/>
      <c r="BY41" s="325"/>
      <c r="BZ41" s="325"/>
      <c r="CA41" s="325"/>
      <c r="CB41" s="337"/>
      <c r="CC41" s="340"/>
      <c r="CD41" s="340"/>
    </row>
    <row r="42" spans="9:85" ht="10.5" customHeight="1">
      <c r="I42" s="398"/>
      <c r="K42" s="398"/>
      <c r="M42" s="263"/>
      <c r="N42" s="263"/>
      <c r="S42" s="372"/>
      <c r="T42" s="372"/>
      <c r="U42" s="372"/>
      <c r="V42" s="372"/>
      <c r="W42" s="372"/>
      <c r="X42" s="377"/>
      <c r="Y42" s="378"/>
      <c r="Z42" s="378"/>
      <c r="AA42" s="378"/>
      <c r="AB42" s="378"/>
      <c r="AC42" s="378"/>
      <c r="AD42" s="378"/>
      <c r="AE42" s="378"/>
      <c r="AF42" s="378"/>
      <c r="AG42" s="378"/>
      <c r="AH42" s="372"/>
      <c r="AI42" s="372"/>
      <c r="AJ42" s="372"/>
      <c r="AK42" s="372"/>
      <c r="AL42" s="372"/>
      <c r="AM42" s="372"/>
      <c r="AN42" s="372"/>
      <c r="AO42" s="371"/>
      <c r="AP42" s="372"/>
      <c r="AQ42" s="379"/>
      <c r="AR42" s="372"/>
      <c r="AS42" s="372"/>
      <c r="AT42" s="372"/>
      <c r="AU42" s="372"/>
      <c r="AV42" s="377"/>
      <c r="AW42" s="378"/>
      <c r="AX42" s="378"/>
      <c r="AY42" s="378"/>
      <c r="AZ42" s="378"/>
      <c r="BA42" s="378"/>
      <c r="BB42" s="378"/>
      <c r="BC42" s="378"/>
      <c r="BD42" s="378"/>
      <c r="BE42" s="378"/>
      <c r="BF42" s="372"/>
      <c r="BG42" s="372"/>
      <c r="BH42" s="372"/>
      <c r="BI42" s="372"/>
      <c r="BJ42" s="372"/>
      <c r="BK42" s="372"/>
      <c r="BL42" s="372"/>
      <c r="BM42" s="371"/>
      <c r="BN42" s="372"/>
      <c r="BO42" s="379"/>
      <c r="BP42" s="372"/>
      <c r="BQ42" s="372"/>
      <c r="BR42" s="372"/>
      <c r="BS42" s="372"/>
      <c r="BT42" s="377"/>
      <c r="BU42" s="378"/>
      <c r="BV42" s="378"/>
      <c r="BW42" s="378"/>
      <c r="BX42" s="378"/>
      <c r="BY42" s="378"/>
      <c r="BZ42" s="378"/>
      <c r="CA42" s="378"/>
      <c r="CB42" s="378"/>
      <c r="CC42" s="378"/>
      <c r="CD42" s="372"/>
      <c r="CE42" s="372"/>
      <c r="CF42" s="372"/>
      <c r="CG42" s="372"/>
    </row>
    <row r="43" spans="9:85" ht="10.5" customHeight="1">
      <c r="I43" s="398"/>
      <c r="K43" s="398"/>
      <c r="M43" s="263"/>
      <c r="N43" s="263"/>
      <c r="S43" s="344"/>
      <c r="T43" s="345"/>
      <c r="U43" s="345"/>
      <c r="V43" s="346"/>
      <c r="W43" s="347"/>
      <c r="X43" s="345"/>
      <c r="Y43" s="345"/>
      <c r="Z43" s="345"/>
      <c r="AA43" s="345"/>
      <c r="AB43" s="347"/>
      <c r="AC43" s="347"/>
      <c r="AD43" s="345"/>
      <c r="AE43" s="345"/>
      <c r="AF43" s="345"/>
      <c r="AG43" s="345"/>
      <c r="AH43" s="346"/>
      <c r="AI43" s="347"/>
      <c r="AJ43" s="345"/>
      <c r="AK43" s="345"/>
      <c r="AL43" s="345"/>
      <c r="AM43" s="345"/>
      <c r="AN43" s="347"/>
      <c r="AO43" s="347"/>
      <c r="AP43" s="345"/>
      <c r="AQ43" s="348"/>
      <c r="AR43" s="345"/>
      <c r="AS43" s="345"/>
      <c r="AT43" s="346"/>
      <c r="AU43" s="347"/>
      <c r="AV43" s="345"/>
      <c r="AW43" s="345"/>
      <c r="AX43" s="345"/>
      <c r="AY43" s="345"/>
      <c r="AZ43" s="347"/>
      <c r="BA43" s="347"/>
      <c r="BB43" s="345"/>
      <c r="BC43" s="345"/>
      <c r="BD43" s="345"/>
      <c r="BE43" s="345"/>
      <c r="BF43" s="346"/>
      <c r="BG43" s="347"/>
      <c r="BH43" s="345"/>
      <c r="BI43" s="345"/>
      <c r="BJ43" s="345"/>
      <c r="BK43" s="345"/>
      <c r="BL43" s="347"/>
      <c r="BM43" s="347"/>
      <c r="BN43" s="345"/>
      <c r="BO43" s="348"/>
      <c r="BP43" s="345"/>
      <c r="BQ43" s="345"/>
      <c r="BR43" s="346"/>
      <c r="BS43" s="347"/>
      <c r="BT43" s="345"/>
      <c r="BU43" s="345"/>
      <c r="BV43" s="345"/>
      <c r="BW43" s="345"/>
      <c r="BX43" s="347"/>
      <c r="BY43" s="347"/>
      <c r="BZ43" s="345"/>
      <c r="CA43" s="345"/>
      <c r="CB43" s="345"/>
      <c r="CC43" s="345"/>
      <c r="CD43" s="346"/>
      <c r="CE43" s="347"/>
      <c r="CF43" s="345"/>
      <c r="CG43" s="345"/>
    </row>
    <row r="44" spans="9:85" ht="18" customHeight="1">
      <c r="I44" s="398"/>
      <c r="K44" s="398"/>
      <c r="M44" s="263"/>
      <c r="N44" s="263"/>
      <c r="S44" s="349"/>
      <c r="T44" s="350"/>
      <c r="U44" s="351"/>
      <c r="V44" s="351"/>
      <c r="W44" s="351"/>
      <c r="X44" s="350"/>
      <c r="Y44" s="351"/>
      <c r="Z44" s="350"/>
      <c r="AA44" s="351"/>
      <c r="AB44" s="351"/>
      <c r="AC44" s="351"/>
      <c r="AD44" s="350"/>
      <c r="AE44" s="351"/>
      <c r="AF44" s="350"/>
      <c r="AG44" s="351"/>
      <c r="AH44" s="351"/>
      <c r="AI44" s="351"/>
      <c r="AJ44" s="352"/>
      <c r="AK44" s="351"/>
      <c r="AL44" s="350"/>
      <c r="AM44" s="351"/>
      <c r="AN44" s="351"/>
      <c r="AO44" s="351"/>
      <c r="AP44" s="352"/>
      <c r="AQ44" s="349"/>
      <c r="AR44" s="350"/>
      <c r="AS44" s="351"/>
      <c r="AT44" s="351"/>
      <c r="AU44" s="351"/>
      <c r="AV44" s="350"/>
      <c r="AW44" s="351"/>
      <c r="AX44" s="350"/>
      <c r="AY44" s="351"/>
      <c r="AZ44" s="351"/>
      <c r="BA44" s="351"/>
      <c r="BB44" s="350"/>
      <c r="BC44" s="351"/>
      <c r="BD44" s="350"/>
      <c r="BE44" s="351"/>
      <c r="BF44" s="351"/>
      <c r="BG44" s="351"/>
      <c r="BH44" s="352"/>
      <c r="BI44" s="351"/>
      <c r="BJ44" s="350"/>
      <c r="BK44" s="351"/>
      <c r="BL44" s="351"/>
      <c r="BM44" s="351"/>
      <c r="BN44" s="352"/>
      <c r="BO44" s="349"/>
      <c r="BP44" s="350"/>
      <c r="BQ44" s="351"/>
      <c r="BR44" s="351"/>
      <c r="BS44" s="351"/>
      <c r="BT44" s="350"/>
      <c r="BU44" s="351"/>
      <c r="BV44" s="350"/>
      <c r="BW44" s="351"/>
      <c r="BX44" s="351"/>
      <c r="BY44" s="351"/>
      <c r="BZ44" s="350"/>
      <c r="CA44" s="351"/>
      <c r="CB44" s="350"/>
      <c r="CC44" s="351"/>
      <c r="CD44" s="351"/>
      <c r="CE44" s="351"/>
      <c r="CF44" s="352"/>
      <c r="CG44" s="351"/>
    </row>
    <row r="45" spans="9:85" ht="10.5" customHeight="1">
      <c r="I45" s="398"/>
      <c r="K45" s="398"/>
      <c r="M45" s="263"/>
      <c r="N45" s="263"/>
      <c r="S45" s="353"/>
      <c r="T45" s="354"/>
      <c r="U45" s="355"/>
      <c r="V45" s="355"/>
      <c r="W45" s="355"/>
      <c r="X45" s="356"/>
      <c r="Y45" s="355"/>
      <c r="Z45" s="354"/>
      <c r="AA45" s="355"/>
      <c r="AB45" s="355"/>
      <c r="AC45" s="355"/>
      <c r="AD45" s="354"/>
      <c r="AE45" s="355"/>
      <c r="AF45" s="354"/>
      <c r="AG45" s="355"/>
      <c r="AH45" s="355"/>
      <c r="AI45" s="355"/>
      <c r="AJ45" s="354"/>
      <c r="AK45" s="355"/>
      <c r="AL45" s="354"/>
      <c r="AM45" s="355"/>
      <c r="AN45" s="355"/>
      <c r="AO45" s="355"/>
      <c r="AP45" s="354"/>
      <c r="AQ45" s="353"/>
      <c r="AR45" s="354"/>
      <c r="AS45" s="355"/>
      <c r="AT45" s="355"/>
      <c r="AU45" s="355"/>
      <c r="AV45" s="356"/>
      <c r="AW45" s="355"/>
      <c r="AX45" s="354"/>
      <c r="AY45" s="355"/>
      <c r="AZ45" s="355"/>
      <c r="BA45" s="355"/>
      <c r="BB45" s="354"/>
      <c r="BC45" s="355"/>
      <c r="BD45" s="354"/>
      <c r="BE45" s="355"/>
      <c r="BF45" s="355"/>
      <c r="BG45" s="355"/>
      <c r="BH45" s="354"/>
      <c r="BI45" s="355"/>
      <c r="BJ45" s="354"/>
      <c r="BK45" s="355"/>
      <c r="BL45" s="355"/>
      <c r="BM45" s="355"/>
      <c r="BN45" s="354"/>
      <c r="BO45" s="353"/>
      <c r="BP45" s="354"/>
      <c r="BQ45" s="355"/>
      <c r="BR45" s="355"/>
      <c r="BS45" s="355"/>
      <c r="BT45" s="356"/>
      <c r="BU45" s="355"/>
      <c r="BV45" s="354"/>
      <c r="BW45" s="355"/>
      <c r="BX45" s="355"/>
      <c r="BY45" s="355"/>
      <c r="BZ45" s="354"/>
      <c r="CA45" s="355"/>
      <c r="CB45" s="354"/>
      <c r="CC45" s="355"/>
      <c r="CD45" s="355"/>
      <c r="CE45" s="355"/>
      <c r="CF45" s="354"/>
      <c r="CG45" s="355"/>
    </row>
    <row r="46" spans="9:85" ht="10.5" customHeight="1">
      <c r="I46" s="398"/>
      <c r="K46" s="398"/>
      <c r="M46" s="263"/>
      <c r="N46" s="263"/>
      <c r="X46" s="357"/>
      <c r="AD46" s="358"/>
      <c r="AJ46" s="358"/>
      <c r="AP46" s="358"/>
      <c r="AQ46" s="380"/>
      <c r="AV46" s="357"/>
      <c r="BB46" s="358"/>
      <c r="BH46" s="358"/>
      <c r="BN46" s="358"/>
      <c r="BO46" s="380"/>
      <c r="BT46" s="357"/>
      <c r="BZ46" s="358"/>
      <c r="CF46" s="358"/>
    </row>
    <row r="47" spans="9:85" ht="18" customHeight="1">
      <c r="I47" s="398"/>
      <c r="K47" s="398"/>
      <c r="M47" s="263"/>
      <c r="N47" s="263"/>
      <c r="X47" s="357"/>
      <c r="AD47" s="358"/>
      <c r="AJ47" s="358"/>
      <c r="AK47" s="56"/>
      <c r="AP47" s="358"/>
      <c r="AQ47" s="381"/>
      <c r="AV47" s="357"/>
      <c r="BB47" s="358"/>
      <c r="BH47" s="358"/>
      <c r="BI47" s="56"/>
      <c r="BN47" s="358"/>
      <c r="BO47" s="381"/>
      <c r="BT47" s="357"/>
      <c r="BZ47" s="358"/>
      <c r="CF47" s="358"/>
      <c r="CG47" s="56"/>
    </row>
    <row r="48" spans="9:85" ht="10.5" customHeight="1">
      <c r="I48" s="398"/>
      <c r="K48" s="398"/>
      <c r="M48" s="263"/>
      <c r="N48" s="263"/>
      <c r="X48" s="357"/>
      <c r="AD48" s="358"/>
      <c r="AJ48" s="358"/>
      <c r="AP48" s="358"/>
      <c r="AQ48" s="359"/>
      <c r="AV48" s="357"/>
      <c r="BB48" s="358"/>
      <c r="BH48" s="358"/>
      <c r="BN48" s="358"/>
      <c r="BO48" s="359"/>
      <c r="BT48" s="357"/>
      <c r="BZ48" s="358"/>
      <c r="CF48" s="358"/>
    </row>
    <row r="49" spans="9:85" ht="15.75" customHeight="1">
      <c r="I49" s="398"/>
      <c r="K49" s="398"/>
      <c r="M49" s="263"/>
      <c r="N49" s="263"/>
      <c r="X49" s="357"/>
      <c r="AD49" s="358"/>
      <c r="AJ49" s="358"/>
      <c r="AP49" s="358"/>
      <c r="AV49" s="357"/>
      <c r="BB49" s="358"/>
      <c r="BH49" s="358"/>
      <c r="BN49" s="358"/>
      <c r="BT49" s="357"/>
      <c r="BZ49" s="358"/>
      <c r="CF49" s="358"/>
    </row>
    <row r="50" spans="9:85" ht="5.25" customHeight="1">
      <c r="I50" s="398"/>
      <c r="K50" s="398"/>
      <c r="L50" s="398"/>
      <c r="M50" s="398"/>
      <c r="N50" s="398"/>
      <c r="O50" s="398"/>
      <c r="P50" s="398"/>
      <c r="Q50" s="398"/>
      <c r="S50" s="360"/>
      <c r="T50" s="361"/>
      <c r="U50" s="361"/>
      <c r="V50" s="361"/>
      <c r="W50" s="361"/>
      <c r="X50" s="361"/>
      <c r="Y50" s="361"/>
      <c r="Z50" s="361"/>
      <c r="AA50" s="361"/>
      <c r="AB50" s="361"/>
      <c r="AC50" s="361"/>
      <c r="AD50" s="361"/>
      <c r="AE50" s="361"/>
      <c r="AF50" s="361"/>
      <c r="AG50" s="361"/>
      <c r="AH50" s="361"/>
      <c r="AI50" s="361"/>
      <c r="AJ50" s="361"/>
      <c r="AK50" s="361"/>
      <c r="AL50" s="361"/>
      <c r="AM50" s="361"/>
      <c r="AN50" s="361"/>
      <c r="AO50" s="361"/>
      <c r="AP50" s="361"/>
      <c r="AQ50" s="361"/>
      <c r="AR50" s="361"/>
      <c r="AS50" s="361"/>
      <c r="AT50" s="361"/>
      <c r="AU50" s="361"/>
      <c r="AV50" s="361"/>
      <c r="AW50" s="361"/>
      <c r="AX50" s="361"/>
      <c r="AY50" s="361"/>
      <c r="AZ50" s="361"/>
      <c r="BA50" s="361"/>
      <c r="BB50" s="361"/>
      <c r="BC50" s="361"/>
      <c r="BD50" s="361"/>
      <c r="BE50" s="361"/>
      <c r="BF50" s="361"/>
      <c r="BG50" s="361"/>
      <c r="BH50" s="361"/>
      <c r="BI50" s="361"/>
      <c r="BJ50" s="361"/>
      <c r="BK50" s="361"/>
      <c r="BL50" s="361"/>
      <c r="BM50" s="362"/>
      <c r="BN50" s="364"/>
      <c r="BP50" s="361"/>
      <c r="BQ50" s="361"/>
      <c r="BR50" s="361"/>
      <c r="BS50" s="362"/>
      <c r="BT50" s="361"/>
      <c r="BU50" s="361"/>
      <c r="BV50" s="361"/>
      <c r="BW50" s="361"/>
      <c r="BX50" s="361"/>
      <c r="BY50" s="363"/>
      <c r="BZ50" s="361"/>
      <c r="CA50" s="361"/>
      <c r="CB50" s="361"/>
      <c r="CC50" s="361"/>
      <c r="CD50" s="361"/>
      <c r="CE50" s="362"/>
      <c r="CF50" s="361"/>
      <c r="CG50" s="361"/>
    </row>
    <row r="51" spans="9:85" ht="10.5" customHeight="1">
      <c r="L51" s="89"/>
      <c r="M51" s="89"/>
      <c r="N51" s="89"/>
      <c r="O51" s="89"/>
      <c r="P51" s="89"/>
      <c r="Q51" s="89"/>
      <c r="S51" s="365"/>
      <c r="T51" s="367"/>
      <c r="U51" s="367"/>
      <c r="V51" s="367"/>
      <c r="W51" s="367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367"/>
      <c r="AP51" s="367"/>
      <c r="AQ51" s="367"/>
      <c r="AR51" s="367"/>
      <c r="AS51" s="367"/>
      <c r="AT51" s="367"/>
      <c r="AU51" s="367"/>
      <c r="AV51" s="367"/>
      <c r="AW51" s="367"/>
      <c r="AX51" s="367"/>
      <c r="AY51" s="367"/>
      <c r="AZ51" s="367"/>
      <c r="BA51" s="367"/>
      <c r="BB51" s="367"/>
      <c r="BC51" s="367"/>
      <c r="BD51" s="367"/>
      <c r="BE51" s="367"/>
      <c r="BF51" s="367"/>
      <c r="BG51" s="367"/>
      <c r="BH51" s="367"/>
      <c r="BI51" s="367"/>
      <c r="BJ51" s="367"/>
      <c r="BK51" s="367"/>
      <c r="BL51" s="367"/>
      <c r="BM51" s="367"/>
      <c r="BN51" s="368"/>
      <c r="BO51" s="365"/>
      <c r="BP51" s="366"/>
      <c r="BQ51" s="384"/>
      <c r="BR51" s="367"/>
      <c r="BS51" s="367"/>
      <c r="BT51" s="368"/>
      <c r="BU51" s="367"/>
      <c r="BV51" s="368"/>
      <c r="BW51" s="367"/>
      <c r="BX51" s="367"/>
      <c r="BY51" s="367"/>
      <c r="BZ51" s="368"/>
      <c r="CA51" s="367"/>
      <c r="CB51" s="368"/>
      <c r="CC51" s="367"/>
      <c r="CD51" s="367"/>
      <c r="CE51" s="367"/>
      <c r="CF51" s="368"/>
      <c r="CG51" s="367"/>
    </row>
    <row r="52" spans="9:85" ht="10.5" customHeight="1">
      <c r="L52" s="89"/>
      <c r="M52" s="89"/>
      <c r="N52" s="89"/>
      <c r="O52" s="89"/>
      <c r="P52" s="89"/>
      <c r="Q52" s="89"/>
      <c r="S52" s="365"/>
      <c r="T52" s="367"/>
      <c r="U52" s="367"/>
      <c r="V52" s="367"/>
      <c r="W52" s="367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367"/>
      <c r="AP52" s="367"/>
      <c r="AQ52" s="367"/>
      <c r="AR52" s="367"/>
      <c r="AS52" s="367"/>
      <c r="AT52" s="367"/>
      <c r="AU52" s="367"/>
      <c r="AV52" s="367"/>
      <c r="AW52" s="367"/>
      <c r="AX52" s="367"/>
      <c r="AY52" s="367"/>
      <c r="AZ52" s="367"/>
      <c r="BA52" s="367"/>
      <c r="BB52" s="367"/>
      <c r="BC52" s="367"/>
      <c r="BD52" s="367"/>
      <c r="BE52" s="367"/>
      <c r="BF52" s="367"/>
      <c r="BG52" s="367"/>
      <c r="BH52" s="367"/>
      <c r="BI52" s="367"/>
      <c r="BJ52" s="367"/>
      <c r="BK52" s="367"/>
      <c r="BL52" s="367"/>
      <c r="BM52" s="367"/>
      <c r="BN52" s="368"/>
      <c r="BO52" s="365"/>
      <c r="BP52" s="366"/>
      <c r="BQ52" s="384"/>
      <c r="BR52" s="367"/>
      <c r="BS52" s="367"/>
      <c r="BT52" s="368"/>
      <c r="BU52" s="367"/>
      <c r="BV52" s="368"/>
      <c r="BW52" s="367"/>
      <c r="BX52" s="367"/>
      <c r="BY52" s="367"/>
      <c r="BZ52" s="368"/>
      <c r="CA52" s="367"/>
      <c r="CB52" s="368"/>
      <c r="CC52" s="367"/>
      <c r="CD52" s="367"/>
      <c r="CE52" s="367"/>
      <c r="CF52" s="368"/>
      <c r="CG52" s="367"/>
    </row>
    <row r="53" spans="9:85" ht="10.5" customHeight="1">
      <c r="L53" s="89"/>
      <c r="M53" s="89"/>
      <c r="N53" s="89"/>
      <c r="O53" s="89"/>
      <c r="P53" s="89"/>
      <c r="Q53" s="89"/>
      <c r="S53" s="365"/>
      <c r="T53" s="367"/>
      <c r="U53" s="367"/>
      <c r="V53" s="367"/>
      <c r="W53" s="367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367"/>
      <c r="AP53" s="367"/>
      <c r="AQ53" s="367"/>
      <c r="AR53" s="367"/>
      <c r="AS53" s="367"/>
      <c r="AT53" s="367"/>
      <c r="AU53" s="367"/>
      <c r="AV53" s="367"/>
      <c r="AW53" s="367"/>
      <c r="AX53" s="367"/>
      <c r="AY53" s="367"/>
      <c r="AZ53" s="367"/>
      <c r="BA53" s="367"/>
      <c r="BB53" s="367"/>
      <c r="BC53" s="367"/>
      <c r="BD53" s="367"/>
      <c r="BE53" s="367"/>
      <c r="BF53" s="367"/>
      <c r="BG53" s="367"/>
      <c r="BH53" s="367"/>
      <c r="BI53" s="367"/>
      <c r="BJ53" s="367"/>
      <c r="BK53" s="367"/>
      <c r="BL53" s="367"/>
      <c r="BM53" s="367"/>
      <c r="BN53" s="368"/>
      <c r="BO53" s="365"/>
      <c r="BP53" s="366"/>
      <c r="BQ53" s="384"/>
      <c r="BR53" s="367"/>
      <c r="BS53" s="367"/>
      <c r="BT53" s="368"/>
      <c r="BU53" s="367"/>
      <c r="BV53" s="368"/>
      <c r="BW53" s="367"/>
      <c r="BX53" s="367"/>
      <c r="BY53" s="367"/>
      <c r="BZ53" s="368"/>
      <c r="CA53" s="367"/>
      <c r="CB53" s="368"/>
      <c r="CC53" s="367"/>
      <c r="CD53" s="367"/>
      <c r="CE53" s="367"/>
      <c r="CF53" s="368"/>
      <c r="CG53" s="367"/>
    </row>
    <row r="54" spans="9:85" ht="10.5" customHeight="1">
      <c r="L54" s="89"/>
      <c r="M54" s="89"/>
      <c r="N54" s="89"/>
      <c r="O54" s="89"/>
      <c r="P54" s="89"/>
      <c r="Q54" s="89"/>
      <c r="AQ54" s="323"/>
      <c r="AR54" s="367"/>
      <c r="AS54" s="367"/>
      <c r="AT54" s="367"/>
      <c r="AU54" s="367"/>
      <c r="AV54" s="367"/>
      <c r="AW54" s="367"/>
      <c r="AX54" s="367"/>
      <c r="BQ54" s="383"/>
    </row>
    <row r="55" spans="9:85" ht="10.5" customHeight="1">
      <c r="L55" s="89"/>
      <c r="M55" s="89"/>
      <c r="N55" s="89"/>
      <c r="O55" s="89"/>
      <c r="P55" s="89"/>
      <c r="Q55" s="89"/>
      <c r="AQ55" s="323"/>
      <c r="AR55" s="367"/>
      <c r="AS55" s="367"/>
      <c r="AT55" s="367"/>
      <c r="AU55" s="367"/>
      <c r="AV55" s="367"/>
      <c r="AW55" s="367"/>
      <c r="AX55" s="367"/>
      <c r="BQ55" s="383"/>
    </row>
    <row r="56" spans="9:85" ht="10.5" customHeight="1">
      <c r="L56" s="89"/>
      <c r="M56" s="89"/>
      <c r="N56" s="89"/>
      <c r="O56" s="89"/>
      <c r="P56" s="89"/>
      <c r="Q56" s="89"/>
      <c r="AQ56" s="323"/>
      <c r="AR56" s="367"/>
      <c r="AS56" s="367"/>
      <c r="AT56" s="367"/>
      <c r="AU56" s="367"/>
      <c r="AV56" s="367"/>
      <c r="AW56" s="367"/>
      <c r="AX56" s="367"/>
      <c r="BQ56" s="383"/>
    </row>
    <row r="57" spans="9:85" ht="10.5" customHeight="1">
      <c r="L57" s="89"/>
      <c r="M57" s="89"/>
      <c r="N57" s="89"/>
      <c r="O57" s="89"/>
      <c r="P57" s="89"/>
      <c r="Q57" s="89"/>
      <c r="AQ57" s="323"/>
      <c r="AR57" s="367"/>
      <c r="AS57" s="367"/>
      <c r="AT57" s="367"/>
      <c r="AU57" s="367"/>
      <c r="AV57" s="367"/>
      <c r="AW57" s="367"/>
      <c r="AX57" s="367"/>
    </row>
    <row r="58" spans="9:85" ht="10.5" customHeight="1">
      <c r="I58" s="482"/>
      <c r="K58" s="482"/>
      <c r="L58" s="89"/>
      <c r="M58" s="89"/>
      <c r="N58" s="89"/>
      <c r="O58" s="89"/>
      <c r="P58" s="89"/>
      <c r="Q58" s="89"/>
      <c r="AQ58" s="323"/>
      <c r="AR58" s="367"/>
      <c r="AS58" s="367"/>
      <c r="AT58" s="367"/>
      <c r="AU58" s="367"/>
      <c r="AV58" s="367"/>
      <c r="AW58" s="367"/>
      <c r="AX58" s="367"/>
      <c r="BQ58" s="384"/>
    </row>
    <row r="59" spans="9:85" ht="10.5" customHeight="1">
      <c r="I59" s="482"/>
      <c r="K59" s="482"/>
      <c r="L59" s="89"/>
      <c r="M59" s="89"/>
      <c r="N59" s="89"/>
      <c r="O59" s="89"/>
      <c r="P59" s="89"/>
      <c r="Q59" s="89"/>
      <c r="AQ59" s="323"/>
      <c r="AR59" s="367"/>
      <c r="AS59" s="367"/>
      <c r="AT59" s="367"/>
      <c r="AU59" s="367"/>
      <c r="AV59" s="367"/>
      <c r="AW59" s="367"/>
      <c r="AX59" s="367"/>
    </row>
    <row r="60" spans="9:85" ht="8.1" customHeight="1">
      <c r="L60" s="89"/>
      <c r="M60" s="89"/>
      <c r="N60" s="89"/>
      <c r="O60" s="89"/>
      <c r="P60" s="89"/>
      <c r="Q60" s="89"/>
      <c r="AQ60" s="323"/>
      <c r="AR60" s="367"/>
      <c r="AS60" s="367"/>
      <c r="AT60" s="367"/>
      <c r="AU60" s="367"/>
      <c r="AV60" s="367"/>
      <c r="AW60" s="367"/>
      <c r="AX60" s="367"/>
    </row>
    <row r="61" spans="9:85" ht="11.1" customHeight="1">
      <c r="L61" s="89"/>
      <c r="M61" s="89"/>
      <c r="N61" s="89"/>
      <c r="O61" s="89"/>
      <c r="P61" s="89"/>
      <c r="Q61" s="89"/>
      <c r="AB61" s="385"/>
      <c r="AC61" s="386"/>
      <c r="AR61" s="367"/>
      <c r="AS61" s="367"/>
      <c r="AT61" s="367"/>
      <c r="AU61" s="367"/>
      <c r="AV61" s="367"/>
      <c r="AW61" s="367"/>
      <c r="AX61" s="367"/>
    </row>
    <row r="62" spans="9:85" ht="12.75" customHeight="1">
      <c r="L62" s="89"/>
      <c r="M62" s="89"/>
      <c r="N62" s="89"/>
      <c r="O62" s="89"/>
      <c r="P62" s="89"/>
      <c r="Q62" s="89"/>
      <c r="AB62" s="385"/>
      <c r="AC62" s="386"/>
      <c r="AK62" s="382"/>
      <c r="AR62" s="367"/>
      <c r="AS62" s="367"/>
      <c r="AT62" s="367"/>
      <c r="AU62" s="367"/>
      <c r="AV62" s="367"/>
      <c r="AW62" s="367"/>
      <c r="AX62" s="367"/>
      <c r="BI62" s="382"/>
      <c r="CG62" s="382"/>
    </row>
    <row r="63" spans="9:85" ht="12.75" customHeight="1">
      <c r="AB63" s="385"/>
      <c r="AR63" s="367"/>
      <c r="AS63" s="367"/>
      <c r="AT63" s="367"/>
      <c r="AU63" s="367"/>
      <c r="AV63" s="367"/>
      <c r="AW63" s="367"/>
      <c r="AX63" s="367"/>
    </row>
    <row r="64" spans="9:85" ht="18" customHeight="1">
      <c r="AR64" s="367"/>
      <c r="AS64" s="367"/>
      <c r="AT64" s="367"/>
      <c r="AU64" s="367"/>
      <c r="AV64" s="367"/>
      <c r="AW64" s="367"/>
      <c r="AX64" s="367"/>
    </row>
    <row r="65" spans="44:50" ht="18" customHeight="1">
      <c r="AR65" s="367"/>
      <c r="AS65" s="367"/>
      <c r="AT65" s="367"/>
      <c r="AU65" s="367"/>
      <c r="AV65" s="367"/>
      <c r="AW65" s="367"/>
      <c r="AX65" s="367"/>
    </row>
    <row r="66" spans="44:50" ht="18" customHeight="1">
      <c r="AR66" s="367"/>
      <c r="AS66" s="367"/>
      <c r="AT66" s="367"/>
      <c r="AU66" s="367"/>
      <c r="AV66" s="367"/>
      <c r="AW66" s="367"/>
      <c r="AX66" s="367"/>
    </row>
    <row r="67" spans="44:50" ht="12.75" customHeight="1">
      <c r="AR67" s="367"/>
      <c r="AS67" s="367"/>
      <c r="AT67" s="367"/>
      <c r="AU67" s="367"/>
      <c r="AV67" s="367"/>
      <c r="AW67" s="367"/>
      <c r="AX67" s="367"/>
    </row>
    <row r="68" spans="44:50" ht="12.75" customHeight="1">
      <c r="AR68" s="367"/>
      <c r="AS68" s="367"/>
      <c r="AT68" s="367"/>
      <c r="AU68" s="367"/>
      <c r="AV68" s="367"/>
      <c r="AW68" s="367"/>
      <c r="AX68" s="367"/>
    </row>
    <row r="69" spans="44:50" ht="12.75" customHeight="1">
      <c r="AR69" s="367"/>
      <c r="AS69" s="367"/>
      <c r="AT69" s="367"/>
      <c r="AU69" s="367"/>
      <c r="AV69" s="367"/>
      <c r="AW69" s="367"/>
      <c r="AX69" s="367"/>
    </row>
    <row r="70" spans="44:50" ht="18">
      <c r="AR70" s="367"/>
      <c r="AS70" s="367"/>
      <c r="AT70" s="367"/>
      <c r="AU70" s="367"/>
      <c r="AV70" s="367"/>
      <c r="AW70" s="367"/>
      <c r="AX70" s="367"/>
    </row>
  </sheetData>
  <mergeCells count="4">
    <mergeCell ref="I21:I40"/>
    <mergeCell ref="I58:I59"/>
    <mergeCell ref="K21:K40"/>
    <mergeCell ref="K58:K59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C3:C6"/>
  <sheetViews>
    <sheetView workbookViewId="0">
      <selection activeCell="C7" sqref="C7"/>
    </sheetView>
  </sheetViews>
  <sheetFormatPr defaultRowHeight="12.75"/>
  <sheetData>
    <row r="3" spans="3:3">
      <c r="C3" s="111" t="s">
        <v>189</v>
      </c>
    </row>
    <row r="4" spans="3:3">
      <c r="C4" s="111" t="s">
        <v>190</v>
      </c>
    </row>
    <row r="5" spans="3:3">
      <c r="C5" s="111" t="s">
        <v>191</v>
      </c>
    </row>
    <row r="6" spans="3:3">
      <c r="C6" s="111" t="s">
        <v>192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Display</vt:lpstr>
      <vt:lpstr>Analysis</vt:lpstr>
      <vt:lpstr>Tables</vt:lpstr>
      <vt:lpstr>Shuffle</vt:lpstr>
      <vt:lpstr>Joker</vt:lpstr>
      <vt:lpstr>Help</vt:lpstr>
      <vt:lpstr>Deck Data</vt:lpstr>
      <vt:lpstr>Cards</vt:lpstr>
      <vt:lpstr>ToDo</vt:lpstr>
      <vt:lpstr>AutoHold</vt:lpstr>
      <vt:lpstr>AutoPlay</vt:lpstr>
      <vt:lpstr>CardStart</vt:lpstr>
      <vt:lpstr>Cash</vt:lpstr>
      <vt:lpstr>Credit</vt:lpstr>
      <vt:lpstr>diam</vt:lpstr>
      <vt:lpstr>DoublePlay</vt:lpstr>
      <vt:lpstr>GameType</vt:lpstr>
      <vt:lpstr>HandDetails</vt:lpstr>
      <vt:lpstr>HideCards</vt:lpstr>
      <vt:lpstr>NoPlays</vt:lpstr>
      <vt:lpstr>PlayNo</vt:lpstr>
      <vt:lpstr>Shuffle</vt:lpstr>
      <vt:lpstr>Winnings</vt:lpstr>
      <vt:lpstr>Wins</vt:lpstr>
    </vt:vector>
  </TitlesOfParts>
  <Company>MoD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SES21C</dc:creator>
  <cp:lastModifiedBy>Shah, Barry</cp:lastModifiedBy>
  <cp:lastPrinted>2020-03-01T09:29:02Z</cp:lastPrinted>
  <dcterms:created xsi:type="dcterms:W3CDTF">1998-04-22T14:15:02Z</dcterms:created>
  <dcterms:modified xsi:type="dcterms:W3CDTF">2021-07-18T15:41:07Z</dcterms:modified>
</cp:coreProperties>
</file>